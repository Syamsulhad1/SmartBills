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20" windowWidth="15600" windowHeight="8010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H182" i="1"/>
  <c r="G181"/>
  <c r="I181"/>
  <c r="F182"/>
  <c r="G180"/>
  <c r="I180"/>
  <c r="G177"/>
  <c r="I177"/>
  <c r="G175"/>
  <c r="I175"/>
  <c r="G174"/>
  <c r="I174"/>
  <c r="G172"/>
  <c r="I172"/>
  <c r="G171"/>
  <c r="I171"/>
  <c r="G64"/>
  <c r="I64"/>
  <c r="G47"/>
  <c r="I47"/>
  <c r="G43"/>
  <c r="I43"/>
  <c r="G36"/>
  <c r="I36"/>
  <c r="G6"/>
  <c r="G72"/>
  <c r="I72"/>
  <c r="G73"/>
  <c r="I73"/>
  <c r="G74"/>
  <c r="I74"/>
  <c r="G75"/>
  <c r="I75"/>
  <c r="G76"/>
  <c r="I76"/>
  <c r="H153"/>
  <c r="G152"/>
  <c r="I152"/>
  <c r="F153"/>
  <c r="G151"/>
  <c r="I151"/>
  <c r="G150"/>
  <c r="I150"/>
  <c r="G149"/>
  <c r="I149"/>
  <c r="G148"/>
  <c r="I148"/>
  <c r="G147"/>
  <c r="I147"/>
  <c r="G146"/>
  <c r="I146"/>
  <c r="G145"/>
  <c r="I145"/>
  <c r="I144"/>
  <c r="G144"/>
  <c r="G143"/>
  <c r="I143"/>
  <c r="G142"/>
  <c r="I142"/>
  <c r="G106" l="1"/>
  <c r="I106"/>
  <c r="G125"/>
  <c r="I125"/>
  <c r="H230"/>
  <c r="I227"/>
  <c r="I228"/>
  <c r="I229"/>
  <c r="G229"/>
  <c r="F230"/>
  <c r="G228"/>
  <c r="G227"/>
  <c r="I226"/>
  <c r="G226"/>
  <c r="G132"/>
  <c r="I132"/>
  <c r="G34"/>
  <c r="I34"/>
  <c r="G217"/>
  <c r="I217"/>
  <c r="H250"/>
  <c r="G249"/>
  <c r="I249"/>
  <c r="F250"/>
  <c r="I248"/>
  <c r="I246"/>
  <c r="G248"/>
  <c r="G246"/>
  <c r="G240"/>
  <c r="I240"/>
  <c r="G237"/>
  <c r="I237"/>
  <c r="G239"/>
  <c r="I239"/>
  <c r="G238"/>
  <c r="I238"/>
  <c r="G236"/>
  <c r="I236"/>
  <c r="I235"/>
  <c r="G235"/>
  <c r="I241"/>
  <c r="G241"/>
  <c r="G214"/>
  <c r="I214"/>
  <c r="I213"/>
  <c r="G213"/>
  <c r="G212"/>
  <c r="I212"/>
  <c r="G211"/>
  <c r="I211"/>
  <c r="G210"/>
  <c r="I210"/>
  <c r="G209"/>
  <c r="I209"/>
  <c r="G193"/>
  <c r="I193"/>
  <c r="G192"/>
  <c r="I192"/>
  <c r="G191"/>
  <c r="I191"/>
  <c r="G162"/>
  <c r="I162"/>
  <c r="G161"/>
  <c r="I161"/>
  <c r="G160"/>
  <c r="I160"/>
  <c r="I159"/>
  <c r="G159"/>
  <c r="G158"/>
  <c r="G170"/>
  <c r="I170"/>
  <c r="G169"/>
  <c r="I169"/>
  <c r="G168"/>
  <c r="I168"/>
  <c r="G167"/>
  <c r="I167"/>
  <c r="G166"/>
  <c r="I166"/>
  <c r="G164"/>
  <c r="I164"/>
  <c r="F88" i="2"/>
  <c r="D88"/>
  <c r="G87"/>
  <c r="E87"/>
  <c r="G86"/>
  <c r="E86"/>
  <c r="G85"/>
  <c r="E85"/>
  <c r="G84"/>
  <c r="E84"/>
  <c r="G83"/>
  <c r="E83"/>
  <c r="G82"/>
  <c r="E82"/>
  <c r="F79"/>
  <c r="D79"/>
  <c r="G78"/>
  <c r="E78"/>
  <c r="G77"/>
  <c r="E77"/>
  <c r="G76"/>
  <c r="E76"/>
  <c r="G75"/>
  <c r="E75"/>
  <c r="G74"/>
  <c r="E74"/>
  <c r="G73"/>
  <c r="E73"/>
  <c r="G72"/>
  <c r="E72"/>
  <c r="G71"/>
  <c r="E71"/>
  <c r="G70"/>
  <c r="E70"/>
  <c r="G69"/>
  <c r="E69"/>
  <c r="G68"/>
  <c r="E68"/>
  <c r="G67"/>
  <c r="E67"/>
  <c r="G66"/>
  <c r="E66"/>
  <c r="G65"/>
  <c r="E65"/>
  <c r="G64"/>
  <c r="E64"/>
  <c r="G63"/>
  <c r="E63"/>
  <c r="G62"/>
  <c r="E62"/>
  <c r="G61"/>
  <c r="E61"/>
  <c r="E79" s="1"/>
  <c r="G79"/>
  <c r="F58"/>
  <c r="D58"/>
  <c r="G57"/>
  <c r="E57"/>
  <c r="G56"/>
  <c r="E56"/>
  <c r="G55"/>
  <c r="E55"/>
  <c r="G54"/>
  <c r="E54"/>
  <c r="G53"/>
  <c r="E53"/>
  <c r="G52"/>
  <c r="E52"/>
  <c r="G51"/>
  <c r="E51"/>
  <c r="G50"/>
  <c r="E50"/>
  <c r="G49"/>
  <c r="E49"/>
  <c r="G48"/>
  <c r="E48"/>
  <c r="G47"/>
  <c r="E47"/>
  <c r="G46"/>
  <c r="E46"/>
  <c r="G45"/>
  <c r="E45"/>
  <c r="G44"/>
  <c r="E44"/>
  <c r="G43"/>
  <c r="E43"/>
  <c r="G42"/>
  <c r="E42"/>
  <c r="G41"/>
  <c r="E41"/>
  <c r="G40"/>
  <c r="E40"/>
  <c r="G39"/>
  <c r="E39"/>
  <c r="G38"/>
  <c r="E38"/>
  <c r="G37"/>
  <c r="E37"/>
  <c r="G36"/>
  <c r="E36"/>
  <c r="G35"/>
  <c r="E35"/>
  <c r="G34"/>
  <c r="E34"/>
  <c r="G33"/>
  <c r="E33"/>
  <c r="G32"/>
  <c r="E32"/>
  <c r="G31"/>
  <c r="E31"/>
  <c r="G30"/>
  <c r="E30"/>
  <c r="G29"/>
  <c r="E29"/>
  <c r="G28"/>
  <c r="E28"/>
  <c r="G27"/>
  <c r="E27"/>
  <c r="G26"/>
  <c r="E26"/>
  <c r="G25"/>
  <c r="E25"/>
  <c r="G24"/>
  <c r="E24"/>
  <c r="G23"/>
  <c r="E23"/>
  <c r="G22"/>
  <c r="E22"/>
  <c r="G21"/>
  <c r="E21"/>
  <c r="G20"/>
  <c r="E20"/>
  <c r="G19"/>
  <c r="E19"/>
  <c r="G18"/>
  <c r="E18"/>
  <c r="G17"/>
  <c r="E17"/>
  <c r="G16"/>
  <c r="E16"/>
  <c r="G15"/>
  <c r="E15"/>
  <c r="G14"/>
  <c r="E14"/>
  <c r="G13"/>
  <c r="E13"/>
  <c r="G12"/>
  <c r="E12"/>
  <c r="G11"/>
  <c r="E11"/>
  <c r="G10"/>
  <c r="E10"/>
  <c r="G9"/>
  <c r="E9"/>
  <c r="G8"/>
  <c r="E8"/>
  <c r="G7"/>
  <c r="E7"/>
  <c r="G6"/>
  <c r="E6"/>
  <c r="G5"/>
  <c r="E5"/>
  <c r="G4"/>
  <c r="G58" s="1"/>
  <c r="E4"/>
  <c r="E58" l="1"/>
  <c r="G88"/>
  <c r="E88"/>
  <c r="G35" i="1"/>
  <c r="I35"/>
  <c r="G33"/>
  <c r="I33"/>
  <c r="G26"/>
  <c r="I26"/>
  <c r="I81"/>
  <c r="I114"/>
  <c r="I115"/>
  <c r="G138"/>
  <c r="I138"/>
  <c r="H242" l="1"/>
  <c r="I134"/>
  <c r="I135"/>
  <c r="G134"/>
  <c r="G135"/>
  <c r="G136"/>
  <c r="G137"/>
  <c r="G139"/>
  <c r="G140"/>
  <c r="G141"/>
  <c r="I136"/>
  <c r="I137"/>
  <c r="I139"/>
  <c r="I140"/>
  <c r="I141"/>
  <c r="I131"/>
  <c r="I130"/>
  <c r="I127"/>
  <c r="I128"/>
  <c r="G115"/>
  <c r="I105"/>
  <c r="G105"/>
  <c r="I104"/>
  <c r="H88"/>
  <c r="F88"/>
  <c r="G216"/>
  <c r="I216"/>
  <c r="G215"/>
  <c r="I215"/>
  <c r="H219"/>
  <c r="G218"/>
  <c r="I218"/>
  <c r="F219"/>
  <c r="G208"/>
  <c r="I208"/>
  <c r="G198"/>
  <c r="I198"/>
  <c r="G197"/>
  <c r="I197"/>
  <c r="G196"/>
  <c r="I196"/>
  <c r="G190"/>
  <c r="I190"/>
  <c r="G195"/>
  <c r="I195"/>
  <c r="G80"/>
  <c r="I80"/>
  <c r="G79"/>
  <c r="I79"/>
  <c r="G78"/>
  <c r="I78"/>
  <c r="G77"/>
  <c r="I77"/>
  <c r="G62"/>
  <c r="I62"/>
  <c r="G61"/>
  <c r="I61"/>
  <c r="G129"/>
  <c r="G127"/>
  <c r="G128"/>
  <c r="G130"/>
  <c r="G131"/>
  <c r="G133"/>
  <c r="I129"/>
  <c r="G123"/>
  <c r="I123"/>
  <c r="I93"/>
  <c r="G93"/>
  <c r="G124"/>
  <c r="I124"/>
  <c r="G126"/>
  <c r="I126"/>
  <c r="I92"/>
  <c r="G92"/>
  <c r="G38"/>
  <c r="G37"/>
  <c r="I37"/>
  <c r="G32"/>
  <c r="I32"/>
  <c r="G31"/>
  <c r="I31"/>
  <c r="G30"/>
  <c r="I30"/>
  <c r="G29"/>
  <c r="I29"/>
  <c r="G28"/>
  <c r="I28"/>
  <c r="G39"/>
  <c r="I39"/>
  <c r="G27"/>
  <c r="I27"/>
  <c r="G71"/>
  <c r="I71"/>
  <c r="G60"/>
  <c r="I60"/>
  <c r="G59"/>
  <c r="I59"/>
  <c r="G18"/>
  <c r="I18"/>
  <c r="G17"/>
  <c r="I17"/>
  <c r="G24"/>
  <c r="I24"/>
  <c r="G23"/>
  <c r="I23"/>
  <c r="G10" l="1"/>
  <c r="I10"/>
  <c r="I9"/>
  <c r="G9"/>
  <c r="H222" l="1"/>
  <c r="I6"/>
  <c r="I7"/>
  <c r="I8"/>
  <c r="I11"/>
  <c r="I12"/>
  <c r="I13"/>
  <c r="I14"/>
  <c r="I15"/>
  <c r="I16"/>
  <c r="I19"/>
  <c r="I20"/>
  <c r="I21"/>
  <c r="I22"/>
  <c r="I25"/>
  <c r="I40"/>
  <c r="I41"/>
  <c r="I42"/>
  <c r="I44"/>
  <c r="I45"/>
  <c r="I46"/>
  <c r="I48"/>
  <c r="I49"/>
  <c r="I50"/>
  <c r="I51"/>
  <c r="I52"/>
  <c r="I53"/>
  <c r="I54"/>
  <c r="I55"/>
  <c r="I56"/>
  <c r="I57"/>
  <c r="I58"/>
  <c r="I63"/>
  <c r="I65"/>
  <c r="I66"/>
  <c r="I67"/>
  <c r="I68"/>
  <c r="I69"/>
  <c r="I70"/>
  <c r="I82"/>
  <c r="I83"/>
  <c r="I84"/>
  <c r="I85"/>
  <c r="I86"/>
  <c r="I87"/>
  <c r="I38"/>
  <c r="I91"/>
  <c r="I94"/>
  <c r="I95"/>
  <c r="I96"/>
  <c r="I97"/>
  <c r="I98"/>
  <c r="I99"/>
  <c r="I100"/>
  <c r="I101"/>
  <c r="I102"/>
  <c r="I103"/>
  <c r="I107"/>
  <c r="I108"/>
  <c r="I109"/>
  <c r="I110"/>
  <c r="I111"/>
  <c r="I112"/>
  <c r="I113"/>
  <c r="I116"/>
  <c r="I117"/>
  <c r="I118"/>
  <c r="I119"/>
  <c r="I120"/>
  <c r="I121"/>
  <c r="I122"/>
  <c r="I133"/>
  <c r="I156"/>
  <c r="I157"/>
  <c r="I158"/>
  <c r="I163"/>
  <c r="I165"/>
  <c r="I173"/>
  <c r="I176"/>
  <c r="I178"/>
  <c r="I179"/>
  <c r="I184"/>
  <c r="I185"/>
  <c r="I186"/>
  <c r="I187"/>
  <c r="I188"/>
  <c r="I189"/>
  <c r="I194"/>
  <c r="I199"/>
  <c r="I200"/>
  <c r="I201"/>
  <c r="I202"/>
  <c r="I203"/>
  <c r="I204"/>
  <c r="I205"/>
  <c r="I206"/>
  <c r="I207"/>
  <c r="I221"/>
  <c r="I222" s="1"/>
  <c r="I224"/>
  <c r="I225"/>
  <c r="I232"/>
  <c r="I233"/>
  <c r="I234"/>
  <c r="I244"/>
  <c r="I245"/>
  <c r="I247"/>
  <c r="G233"/>
  <c r="G234"/>
  <c r="G244"/>
  <c r="G245"/>
  <c r="G247"/>
  <c r="G232"/>
  <c r="G225"/>
  <c r="G224"/>
  <c r="G221"/>
  <c r="G185"/>
  <c r="G186"/>
  <c r="G187"/>
  <c r="G188"/>
  <c r="G189"/>
  <c r="G194"/>
  <c r="G199"/>
  <c r="G200"/>
  <c r="G201"/>
  <c r="G202"/>
  <c r="G203"/>
  <c r="G204"/>
  <c r="G205"/>
  <c r="G206"/>
  <c r="G207"/>
  <c r="G184"/>
  <c r="G176"/>
  <c r="G178"/>
  <c r="G179"/>
  <c r="G157"/>
  <c r="G163"/>
  <c r="G165"/>
  <c r="G173"/>
  <c r="G156"/>
  <c r="G182" s="1"/>
  <c r="G104"/>
  <c r="G107"/>
  <c r="G108"/>
  <c r="G109"/>
  <c r="G110"/>
  <c r="G111"/>
  <c r="G112"/>
  <c r="G113"/>
  <c r="G114"/>
  <c r="G116"/>
  <c r="G117"/>
  <c r="G118"/>
  <c r="G119"/>
  <c r="G120"/>
  <c r="G121"/>
  <c r="G122"/>
  <c r="G98"/>
  <c r="G99"/>
  <c r="G100"/>
  <c r="G101"/>
  <c r="G102"/>
  <c r="G103"/>
  <c r="G94"/>
  <c r="G95"/>
  <c r="G96"/>
  <c r="G97"/>
  <c r="G91"/>
  <c r="G25"/>
  <c r="G40"/>
  <c r="G41"/>
  <c r="G42"/>
  <c r="G44"/>
  <c r="G45"/>
  <c r="G46"/>
  <c r="G48"/>
  <c r="G49"/>
  <c r="G50"/>
  <c r="G51"/>
  <c r="G52"/>
  <c r="G53"/>
  <c r="G54"/>
  <c r="G55"/>
  <c r="G56"/>
  <c r="G57"/>
  <c r="G58"/>
  <c r="G63"/>
  <c r="G65"/>
  <c r="G66"/>
  <c r="G67"/>
  <c r="G68"/>
  <c r="G69"/>
  <c r="G70"/>
  <c r="G81"/>
  <c r="G82"/>
  <c r="G83"/>
  <c r="G84"/>
  <c r="G85"/>
  <c r="G86"/>
  <c r="G87"/>
  <c r="G7"/>
  <c r="G8"/>
  <c r="G11"/>
  <c r="G12"/>
  <c r="G13"/>
  <c r="G14"/>
  <c r="G15"/>
  <c r="G16"/>
  <c r="G19"/>
  <c r="G20"/>
  <c r="G21"/>
  <c r="G22"/>
  <c r="F242"/>
  <c r="I182" l="1"/>
  <c r="I230"/>
  <c r="G230"/>
  <c r="G153"/>
  <c r="I153"/>
  <c r="G250"/>
  <c r="I250"/>
  <c r="G88"/>
  <c r="G242"/>
  <c r="G222"/>
  <c r="I88"/>
  <c r="I219"/>
  <c r="G219"/>
  <c r="I242"/>
</calcChain>
</file>

<file path=xl/sharedStrings.xml><?xml version="1.0" encoding="utf-8"?>
<sst xmlns="http://schemas.openxmlformats.org/spreadsheetml/2006/main" count="980" uniqueCount="587">
  <si>
    <t>NO</t>
  </si>
  <si>
    <t>JENIS</t>
  </si>
  <si>
    <t>MEREK</t>
  </si>
  <si>
    <t>NETTO</t>
  </si>
  <si>
    <t>PLU</t>
  </si>
  <si>
    <t>JUMLAH</t>
  </si>
  <si>
    <t>Leo Kripik Kentang Rumput Laut</t>
  </si>
  <si>
    <t>14 g</t>
  </si>
  <si>
    <t>Leo Kripik Kentang Sapi Panggang</t>
  </si>
  <si>
    <t>Leo kripik kentang ayam original</t>
  </si>
  <si>
    <t>12 g</t>
  </si>
  <si>
    <t>Kentang goreng ala french fries</t>
  </si>
  <si>
    <t>18 g</t>
  </si>
  <si>
    <t>Twistko salsa rasa balado</t>
  </si>
  <si>
    <t>17 g</t>
  </si>
  <si>
    <t>Kenji net rasa ayam</t>
  </si>
  <si>
    <t>16 g</t>
  </si>
  <si>
    <t>Kenji net rasa dendeng</t>
  </si>
  <si>
    <t>Spix soba rasa sambal balado</t>
  </si>
  <si>
    <t>24 g</t>
  </si>
  <si>
    <t>Go piramid kripik kentang</t>
  </si>
  <si>
    <t>8 g</t>
  </si>
  <si>
    <t>Kriptella level 9</t>
  </si>
  <si>
    <t>10 g</t>
  </si>
  <si>
    <t>Momogi stick cappuchino</t>
  </si>
  <si>
    <t>Momogi stick jagung bakar</t>
  </si>
  <si>
    <t>Gery toya-toya stick coklat</t>
  </si>
  <si>
    <t>Bolu pandan</t>
  </si>
  <si>
    <t>Bolu cappucino</t>
  </si>
  <si>
    <t>Bolu chocholate</t>
  </si>
  <si>
    <t>Top strawberry</t>
  </si>
  <si>
    <t>11 g</t>
  </si>
  <si>
    <t>Tango wafer susu vanila</t>
  </si>
  <si>
    <t>Tango wafer coklat</t>
  </si>
  <si>
    <t>90 g</t>
  </si>
  <si>
    <t>Richoco nabati time break</t>
  </si>
  <si>
    <t>Gery wafelatos</t>
  </si>
  <si>
    <t>Trenz crim keju</t>
  </si>
  <si>
    <t>Kraft tuc paprika</t>
  </si>
  <si>
    <t>21 g</t>
  </si>
  <si>
    <t>Kraft tuc seaweed</t>
  </si>
  <si>
    <t>Roma biscuit kelapa</t>
  </si>
  <si>
    <t>300 g</t>
  </si>
  <si>
    <t>Malkist rasa abon sapi</t>
  </si>
  <si>
    <t>145 g</t>
  </si>
  <si>
    <t>Malkist crackers</t>
  </si>
  <si>
    <t>137 g</t>
  </si>
  <si>
    <t>Kukis mochachino</t>
  </si>
  <si>
    <t>kukis durian</t>
  </si>
  <si>
    <t>Kukis butter</t>
  </si>
  <si>
    <t>Kukis kelapa</t>
  </si>
  <si>
    <t>Better susu vanila</t>
  </si>
  <si>
    <t>115 g</t>
  </si>
  <si>
    <t>Klik crackers</t>
  </si>
  <si>
    <t>origo chocolate</t>
  </si>
  <si>
    <t>Go smily coklat</t>
  </si>
  <si>
    <t>Mini coco vanila coklat</t>
  </si>
  <si>
    <t>Goriorio kelapa</t>
  </si>
  <si>
    <t>Goriorio mix</t>
  </si>
  <si>
    <t>Goriorio tiramisu</t>
  </si>
  <si>
    <t>Togo coklat</t>
  </si>
  <si>
    <t>17,5 g</t>
  </si>
  <si>
    <t>Sprite</t>
  </si>
  <si>
    <t>200 ml</t>
  </si>
  <si>
    <t>Fanta merah</t>
  </si>
  <si>
    <t>Frestea</t>
  </si>
  <si>
    <t>Fanta putih</t>
  </si>
  <si>
    <t>Fanta orange</t>
  </si>
  <si>
    <t>Cocacola</t>
  </si>
  <si>
    <t>Pulpy orange</t>
  </si>
  <si>
    <t>Happy jus</t>
  </si>
  <si>
    <t>Fruit tea blackcurant</t>
  </si>
  <si>
    <t>Frisian flag coolberry</t>
  </si>
  <si>
    <t>Teh botol sosro 'JT'</t>
  </si>
  <si>
    <t>Calpino anggur</t>
  </si>
  <si>
    <t>Calpino original</t>
  </si>
  <si>
    <t>Teh jawa 'GT'</t>
  </si>
  <si>
    <t>Teh gelas</t>
  </si>
  <si>
    <t>Tiky jeruk</t>
  </si>
  <si>
    <t>Canting 'SAJ'</t>
  </si>
  <si>
    <t>Teh rio</t>
  </si>
  <si>
    <t>Milkuat</t>
  </si>
  <si>
    <t>Pocari sweet</t>
  </si>
  <si>
    <t>Glit gula asam</t>
  </si>
  <si>
    <t>Frute zone orange</t>
  </si>
  <si>
    <t>Frute zone hijau</t>
  </si>
  <si>
    <t>Ades</t>
  </si>
  <si>
    <t>Tiky jambu merah</t>
  </si>
  <si>
    <t>FOOD</t>
  </si>
  <si>
    <t>DRINK</t>
  </si>
  <si>
    <t>Mie salam goreng</t>
  </si>
  <si>
    <t>65 g</t>
  </si>
  <si>
    <t>Mie sedap kuah soto</t>
  </si>
  <si>
    <t>75 g</t>
  </si>
  <si>
    <t>Mie sedap kuah ayam bawang</t>
  </si>
  <si>
    <t>70 g</t>
  </si>
  <si>
    <t>Mie sedap kuah ayam special</t>
  </si>
  <si>
    <t>69 g</t>
  </si>
  <si>
    <t>Mie salam ayam special</t>
  </si>
  <si>
    <t>Pop mie mini ayam bawang</t>
  </si>
  <si>
    <t>35 g</t>
  </si>
  <si>
    <t>Pop mie mini baso sapi</t>
  </si>
  <si>
    <t>Pop mie mini soto</t>
  </si>
  <si>
    <t xml:space="preserve"> 35 g</t>
  </si>
  <si>
    <t>Mie sedap goreng</t>
  </si>
  <si>
    <t>Indomie sambel ijo</t>
  </si>
  <si>
    <t>Indomie ayam pedas</t>
  </si>
  <si>
    <t>Indomie isi duo goreng</t>
  </si>
  <si>
    <t>Indomie isi duo kuah</t>
  </si>
  <si>
    <t>Mie sedap kuah kare special</t>
  </si>
  <si>
    <t>NON FOOD</t>
  </si>
  <si>
    <t>SHAMPO</t>
  </si>
  <si>
    <t>90 ml</t>
  </si>
  <si>
    <t>170 ml</t>
  </si>
  <si>
    <t xml:space="preserve">Pantene anti dandruf </t>
  </si>
  <si>
    <t>Pantene nature care</t>
  </si>
  <si>
    <t xml:space="preserve">Rejoice anti frizz </t>
  </si>
  <si>
    <t>180 ml</t>
  </si>
  <si>
    <t>Rejoice manageable</t>
  </si>
  <si>
    <t>Sunslik black shine</t>
  </si>
  <si>
    <t>Give pepaya</t>
  </si>
  <si>
    <t>80 g</t>
  </si>
  <si>
    <t>Give soya bear</t>
  </si>
  <si>
    <t>Give bengkoang</t>
  </si>
  <si>
    <t>Give rose oil</t>
  </si>
  <si>
    <t>Lifebuoy cool fresh mentol</t>
  </si>
  <si>
    <t>Lifebuoy naturepure daun sirih</t>
  </si>
  <si>
    <t>Lifebuoy total</t>
  </si>
  <si>
    <t>Lux velvet touch</t>
  </si>
  <si>
    <t>85 g</t>
  </si>
  <si>
    <t>Marina</t>
  </si>
  <si>
    <t>Harmony orange</t>
  </si>
  <si>
    <t>Harmony fuji apple</t>
  </si>
  <si>
    <t>Harmony grape</t>
  </si>
  <si>
    <t>Harmony green apple</t>
  </si>
  <si>
    <t>Nuvo cool</t>
  </si>
  <si>
    <t>Nuvo caring</t>
  </si>
  <si>
    <t>Nuvo energizing</t>
  </si>
  <si>
    <t>Nuvo clasic</t>
  </si>
  <si>
    <t>PASTA GIGI</t>
  </si>
  <si>
    <t>Pepsodent</t>
  </si>
  <si>
    <t>Sunlight jeruk nipis 100</t>
  </si>
  <si>
    <t>HAND&amp;BODY</t>
  </si>
  <si>
    <t>Citra bengkoang</t>
  </si>
  <si>
    <t>250 ml</t>
  </si>
  <si>
    <t>Citra teh hijau</t>
  </si>
  <si>
    <t>Citra bubuk mutiara</t>
  </si>
  <si>
    <t>120 ml</t>
  </si>
  <si>
    <t>Pond's white beauty</t>
  </si>
  <si>
    <t>100 g</t>
  </si>
  <si>
    <t>Garnier pure aktif scrub</t>
  </si>
  <si>
    <t>100 ml</t>
  </si>
  <si>
    <t>50 ml</t>
  </si>
  <si>
    <t>85 ml</t>
  </si>
  <si>
    <t>240 ml</t>
  </si>
  <si>
    <t>Teh eco</t>
  </si>
  <si>
    <t>350 ml</t>
  </si>
  <si>
    <t>600 ml</t>
  </si>
  <si>
    <t>ABC A</t>
  </si>
  <si>
    <t>ABC B</t>
  </si>
  <si>
    <t>ABC C</t>
  </si>
  <si>
    <t>BCA A</t>
  </si>
  <si>
    <t>BCA B</t>
  </si>
  <si>
    <t xml:space="preserve">AAB </t>
  </si>
  <si>
    <t>ABB</t>
  </si>
  <si>
    <t>ABA A</t>
  </si>
  <si>
    <t>ABA B</t>
  </si>
  <si>
    <t>BBA</t>
  </si>
  <si>
    <t>CCA</t>
  </si>
  <si>
    <t>BCD A</t>
  </si>
  <si>
    <t>BCD B</t>
  </si>
  <si>
    <t>DCB A</t>
  </si>
  <si>
    <t>DCB B</t>
  </si>
  <si>
    <t>DDC</t>
  </si>
  <si>
    <t>CCD A</t>
  </si>
  <si>
    <t>CCD C</t>
  </si>
  <si>
    <t>CAD A</t>
  </si>
  <si>
    <t>CAD B</t>
  </si>
  <si>
    <t>TSB</t>
  </si>
  <si>
    <t>TWS B</t>
  </si>
  <si>
    <t>FPW A</t>
  </si>
  <si>
    <t>FPW B</t>
  </si>
  <si>
    <t>RNT</t>
  </si>
  <si>
    <t>TCK B</t>
  </si>
  <si>
    <t>KTP A</t>
  </si>
  <si>
    <t>KTP B</t>
  </si>
  <si>
    <t>RBK</t>
  </si>
  <si>
    <t>MRA A</t>
  </si>
  <si>
    <t>MRA B</t>
  </si>
  <si>
    <t>KMC A</t>
  </si>
  <si>
    <t>KMC B</t>
  </si>
  <si>
    <t>KMC C</t>
  </si>
  <si>
    <t>KMC D</t>
  </si>
  <si>
    <t>BSF</t>
  </si>
  <si>
    <t>KCS</t>
  </si>
  <si>
    <t>OCC</t>
  </si>
  <si>
    <t>GSO</t>
  </si>
  <si>
    <t>MCV</t>
  </si>
  <si>
    <t>GRK A</t>
  </si>
  <si>
    <t>GRK B</t>
  </si>
  <si>
    <t>GRK C</t>
  </si>
  <si>
    <t>MSA A</t>
  </si>
  <si>
    <t>MSA B</t>
  </si>
  <si>
    <t>MKS A</t>
  </si>
  <si>
    <t>MKS B</t>
  </si>
  <si>
    <t>MKS C</t>
  </si>
  <si>
    <t>MKS D</t>
  </si>
  <si>
    <t>PMM A</t>
  </si>
  <si>
    <t>PMM B</t>
  </si>
  <si>
    <t>PMM C</t>
  </si>
  <si>
    <t>MSG</t>
  </si>
  <si>
    <t>ISH A</t>
  </si>
  <si>
    <t>ISH B</t>
  </si>
  <si>
    <t>ISH C</t>
  </si>
  <si>
    <t>ISH D</t>
  </si>
  <si>
    <t>TGC</t>
  </si>
  <si>
    <t>FMR B</t>
  </si>
  <si>
    <t>FMR C</t>
  </si>
  <si>
    <t>FRT</t>
  </si>
  <si>
    <t>COA</t>
  </si>
  <si>
    <t>PPO</t>
  </si>
  <si>
    <t>HPJ</t>
  </si>
  <si>
    <t>FRT A</t>
  </si>
  <si>
    <t>FRT B</t>
  </si>
  <si>
    <t>TBS</t>
  </si>
  <si>
    <t>CPA A</t>
  </si>
  <si>
    <t>CPA B</t>
  </si>
  <si>
    <t>TJW</t>
  </si>
  <si>
    <t>TGS</t>
  </si>
  <si>
    <t>THE</t>
  </si>
  <si>
    <t>TJM A</t>
  </si>
  <si>
    <t>TJM B</t>
  </si>
  <si>
    <t>CNT</t>
  </si>
  <si>
    <t>THR</t>
  </si>
  <si>
    <t>MLK</t>
  </si>
  <si>
    <t>PCS</t>
  </si>
  <si>
    <t>GGA</t>
  </si>
  <si>
    <t>FZO A</t>
  </si>
  <si>
    <t>FZO B</t>
  </si>
  <si>
    <t>ADD</t>
  </si>
  <si>
    <t>PAD A</t>
  </si>
  <si>
    <t>PAD B</t>
  </si>
  <si>
    <t>PAD C</t>
  </si>
  <si>
    <t>RJC A</t>
  </si>
  <si>
    <t>RJC B</t>
  </si>
  <si>
    <t>SNS A</t>
  </si>
  <si>
    <t>LFB A</t>
  </si>
  <si>
    <t>CLR A</t>
  </si>
  <si>
    <t>CLR B</t>
  </si>
  <si>
    <t>GVY A</t>
  </si>
  <si>
    <t>GVY B</t>
  </si>
  <si>
    <t>GVY C</t>
  </si>
  <si>
    <t>GVY D</t>
  </si>
  <si>
    <t>LBF A</t>
  </si>
  <si>
    <t>LBF B</t>
  </si>
  <si>
    <t>LBF C</t>
  </si>
  <si>
    <t>MRN</t>
  </si>
  <si>
    <t>HRM A</t>
  </si>
  <si>
    <t>HRM B</t>
  </si>
  <si>
    <t>HRM C</t>
  </si>
  <si>
    <t>HRM D</t>
  </si>
  <si>
    <t>NVC A</t>
  </si>
  <si>
    <t>NVC B</t>
  </si>
  <si>
    <t>NVC C</t>
  </si>
  <si>
    <t>NVC D</t>
  </si>
  <si>
    <t>PPS</t>
  </si>
  <si>
    <t>SNG A</t>
  </si>
  <si>
    <t>SNG B</t>
  </si>
  <si>
    <t>CTR A</t>
  </si>
  <si>
    <t>CTR B</t>
  </si>
  <si>
    <t>CTR C</t>
  </si>
  <si>
    <t>GNR A</t>
  </si>
  <si>
    <t>GNR B</t>
  </si>
  <si>
    <t>HARGA</t>
  </si>
  <si>
    <t xml:space="preserve">JUMLAH </t>
  </si>
  <si>
    <t>PERINCIAN PRODUK</t>
  </si>
  <si>
    <t>BELI</t>
  </si>
  <si>
    <t>JUAL</t>
  </si>
  <si>
    <t>JML</t>
  </si>
  <si>
    <t xml:space="preserve">SABUN </t>
  </si>
  <si>
    <t>MANDI</t>
  </si>
  <si>
    <t>FACIAL</t>
  </si>
  <si>
    <t>FOAM</t>
  </si>
  <si>
    <t>Richeese nabati blueberry</t>
  </si>
  <si>
    <t xml:space="preserve">Richeese nabati fire </t>
  </si>
  <si>
    <t>Piattoz sapi panggang</t>
  </si>
  <si>
    <t>piattoz barbeque</t>
  </si>
  <si>
    <t>Nitchi  choco strawberry</t>
  </si>
  <si>
    <t>Fenisia  crim coklat</t>
  </si>
  <si>
    <t>Fenisia crim susu vanila</t>
  </si>
  <si>
    <t xml:space="preserve">8 g </t>
  </si>
  <si>
    <t>ABC D</t>
  </si>
  <si>
    <t>Leanet Beef BBQ</t>
  </si>
  <si>
    <t xml:space="preserve">Leanet Seaweed </t>
  </si>
  <si>
    <t>ABC E</t>
  </si>
  <si>
    <t>DCB C</t>
  </si>
  <si>
    <t>Momogi Tutti Frutti</t>
  </si>
  <si>
    <t>CCD D</t>
  </si>
  <si>
    <t>Kenji Kari ayam</t>
  </si>
  <si>
    <t>ABA C</t>
  </si>
  <si>
    <t>ABA D</t>
  </si>
  <si>
    <t>Orenz Chocolate</t>
  </si>
  <si>
    <t>ORN A</t>
  </si>
  <si>
    <t>OrenzChoco Duo</t>
  </si>
  <si>
    <t>ORN B</t>
  </si>
  <si>
    <t>Ahh Time Break</t>
  </si>
  <si>
    <t>ATB</t>
  </si>
  <si>
    <t>Gery Toya Toya</t>
  </si>
  <si>
    <t>9 g</t>
  </si>
  <si>
    <t>Mori bee</t>
  </si>
  <si>
    <t>MEB</t>
  </si>
  <si>
    <t>Gery 2 Choco Roll Keju</t>
  </si>
  <si>
    <t>BCD C</t>
  </si>
  <si>
    <t>Gery 2 Choco Roll Coklat</t>
  </si>
  <si>
    <t>BCD D</t>
  </si>
  <si>
    <t>Gery Odonat</t>
  </si>
  <si>
    <t>BCD E</t>
  </si>
  <si>
    <t>Gery Chopstick</t>
  </si>
  <si>
    <t>BCD F</t>
  </si>
  <si>
    <t>Gery Bischoc</t>
  </si>
  <si>
    <t>BCD G</t>
  </si>
  <si>
    <t>Bismaxx</t>
  </si>
  <si>
    <t xml:space="preserve">BSM </t>
  </si>
  <si>
    <t>425 ml</t>
  </si>
  <si>
    <t>SPR A</t>
  </si>
  <si>
    <t>SPR b</t>
  </si>
  <si>
    <t>Club</t>
  </si>
  <si>
    <t>CLB</t>
  </si>
  <si>
    <t>Aqua</t>
  </si>
  <si>
    <t>AQA</t>
  </si>
  <si>
    <t>Fanta Merah</t>
  </si>
  <si>
    <t>FTR A</t>
  </si>
  <si>
    <t>FMR D</t>
  </si>
  <si>
    <t>Larutan Penyegar Sinde</t>
  </si>
  <si>
    <t>LPS</t>
  </si>
  <si>
    <t>500 ml</t>
  </si>
  <si>
    <t>MZE</t>
  </si>
  <si>
    <t>You C1000 Orange</t>
  </si>
  <si>
    <t>You C1000 Apple</t>
  </si>
  <si>
    <t>140 ml</t>
  </si>
  <si>
    <t>YCC A</t>
  </si>
  <si>
    <t>MM A</t>
  </si>
  <si>
    <t>Minute  Maid Fresh Jm</t>
  </si>
  <si>
    <t>Minute  Maid Fresh Markisa</t>
  </si>
  <si>
    <t>MM B</t>
  </si>
  <si>
    <t>Clevo Strowberry</t>
  </si>
  <si>
    <t>Clevo Chocolate</t>
  </si>
  <si>
    <t>125 ml</t>
  </si>
  <si>
    <t>CLV A</t>
  </si>
  <si>
    <t>CLV B</t>
  </si>
  <si>
    <t>ABC Kacang Hijau</t>
  </si>
  <si>
    <t xml:space="preserve">AKH </t>
  </si>
  <si>
    <t>Mizone Laci Lemon</t>
  </si>
  <si>
    <t>Marjan Boudoin Melon</t>
  </si>
  <si>
    <t>630 ml</t>
  </si>
  <si>
    <t xml:space="preserve">MBD </t>
  </si>
  <si>
    <t>Liquid Chlorophyll</t>
  </si>
  <si>
    <t>LQD</t>
  </si>
  <si>
    <t>Enfakid A+ Madu</t>
  </si>
  <si>
    <t>EFA A</t>
  </si>
  <si>
    <t>EFA B</t>
  </si>
  <si>
    <t>Enfagrow A+ Madu</t>
  </si>
  <si>
    <t xml:space="preserve">EFG </t>
  </si>
  <si>
    <t>Enfaprow A+</t>
  </si>
  <si>
    <t>800 g</t>
  </si>
  <si>
    <t>900 g</t>
  </si>
  <si>
    <t>EFP</t>
  </si>
  <si>
    <t>Pedia sure Coklat</t>
  </si>
  <si>
    <t>PDS A</t>
  </si>
  <si>
    <t>Pedia sure Madu</t>
  </si>
  <si>
    <t>PDS B</t>
  </si>
  <si>
    <t>Monde Favourite</t>
  </si>
  <si>
    <t>575 g</t>
  </si>
  <si>
    <t>MND A</t>
  </si>
  <si>
    <t>Monde Butter Cookies</t>
  </si>
  <si>
    <t>908 g</t>
  </si>
  <si>
    <t>MND C</t>
  </si>
  <si>
    <t>DM Margaroni Telur</t>
  </si>
  <si>
    <t>DAM A</t>
  </si>
  <si>
    <t>DM Kacang Kapri</t>
  </si>
  <si>
    <t>DAM B</t>
  </si>
  <si>
    <t>DM Morning Jagung</t>
  </si>
  <si>
    <t>DAM C</t>
  </si>
  <si>
    <t>DM Pang Pang</t>
  </si>
  <si>
    <t>DAM D</t>
  </si>
  <si>
    <t>Lux White Glemour</t>
  </si>
  <si>
    <t>220 g</t>
  </si>
  <si>
    <t>LUX A</t>
  </si>
  <si>
    <t>LUX B</t>
  </si>
  <si>
    <t>Lifebuoy Vita Protect</t>
  </si>
  <si>
    <t>LBF D</t>
  </si>
  <si>
    <t xml:space="preserve">Caludia Silky Smoth </t>
  </si>
  <si>
    <t>CLU A</t>
  </si>
  <si>
    <t>CLU B</t>
  </si>
  <si>
    <t>Citra Bubuk Mutiara</t>
  </si>
  <si>
    <t xml:space="preserve">CTRA </t>
  </si>
  <si>
    <t>Cosmetic</t>
  </si>
  <si>
    <t>Wardah Moisturizer gel</t>
  </si>
  <si>
    <t>40 g</t>
  </si>
  <si>
    <t>WDM</t>
  </si>
  <si>
    <t>Citra Hazelin</t>
  </si>
  <si>
    <t>CTH</t>
  </si>
  <si>
    <t>Pucelle Joy</t>
  </si>
  <si>
    <t>75 ml</t>
  </si>
  <si>
    <t>Pucelle Mist cologne</t>
  </si>
  <si>
    <t>150 ml</t>
  </si>
  <si>
    <t>PCL A</t>
  </si>
  <si>
    <t>PCL B</t>
  </si>
  <si>
    <t>Kenji Sapi Panggang</t>
  </si>
  <si>
    <t>belum ada</t>
  </si>
  <si>
    <t>20 g</t>
  </si>
  <si>
    <t>220 ml</t>
  </si>
  <si>
    <t>Fruit tea apple</t>
  </si>
  <si>
    <t>Gery Toya Toya Beries</t>
  </si>
  <si>
    <t>BCD H</t>
  </si>
  <si>
    <t>Good Time</t>
  </si>
  <si>
    <t>GDT</t>
  </si>
  <si>
    <t>rejoice anti dandruf</t>
  </si>
  <si>
    <t>70 ml</t>
  </si>
  <si>
    <t>RJC D</t>
  </si>
  <si>
    <t>RJC C</t>
  </si>
  <si>
    <t>Rijoice Rich</t>
  </si>
  <si>
    <t>RJC E</t>
  </si>
  <si>
    <t>Rijoice 3 in 1</t>
  </si>
  <si>
    <t>RJC F</t>
  </si>
  <si>
    <t>RJC G</t>
  </si>
  <si>
    <t>Rijoice hair fall</t>
  </si>
  <si>
    <t>RJC H</t>
  </si>
  <si>
    <t>Pantene Long black</t>
  </si>
  <si>
    <t>340 ml</t>
  </si>
  <si>
    <t>Pantene hair fall control</t>
  </si>
  <si>
    <t>PAD D</t>
  </si>
  <si>
    <t>Pantene silky smooth care</t>
  </si>
  <si>
    <t>PAD E</t>
  </si>
  <si>
    <t>Pantene lively</t>
  </si>
  <si>
    <t>PAD F</t>
  </si>
  <si>
    <t>Pantene long black</t>
  </si>
  <si>
    <t>PAD G</t>
  </si>
  <si>
    <t>Lifebuoy anti dandruff</t>
  </si>
  <si>
    <t>Clear ice cool menthol</t>
  </si>
  <si>
    <t>Clear men ice cool</t>
  </si>
  <si>
    <t>Lifebuoy naturepure</t>
  </si>
  <si>
    <t>300 ml</t>
  </si>
  <si>
    <t>LBF E</t>
  </si>
  <si>
    <t>LBF F</t>
  </si>
  <si>
    <t>Lifebuoy total 10</t>
  </si>
  <si>
    <t>LBF G</t>
  </si>
  <si>
    <t>Viva face tonic bengkoang</t>
  </si>
  <si>
    <t>Viva milk cleanser</t>
  </si>
  <si>
    <t>VVA A</t>
  </si>
  <si>
    <t>VVA B</t>
  </si>
  <si>
    <t>Rexona teens</t>
  </si>
  <si>
    <t>25 ml</t>
  </si>
  <si>
    <t>RXN A</t>
  </si>
  <si>
    <t>Rexona floral</t>
  </si>
  <si>
    <t>34 g</t>
  </si>
  <si>
    <t>RXN B</t>
  </si>
  <si>
    <t>Rexona women whitening</t>
  </si>
  <si>
    <t>40 ml</t>
  </si>
  <si>
    <t>RXN C</t>
  </si>
  <si>
    <t>Pixy woody</t>
  </si>
  <si>
    <t>PXY</t>
  </si>
  <si>
    <t>Lovely caring glow</t>
  </si>
  <si>
    <t>LVY</t>
  </si>
  <si>
    <t>60 ml</t>
  </si>
  <si>
    <t>CTR D</t>
  </si>
  <si>
    <t>CTR E</t>
  </si>
  <si>
    <t>Citra beras jepang</t>
  </si>
  <si>
    <t>CTR F</t>
  </si>
  <si>
    <t>120 ML</t>
  </si>
  <si>
    <t>CTR G</t>
  </si>
  <si>
    <t>CTR H</t>
  </si>
  <si>
    <t>Citra mangir jawa</t>
  </si>
  <si>
    <t>CTR I</t>
  </si>
  <si>
    <t>PND A</t>
  </si>
  <si>
    <t>50 g</t>
  </si>
  <si>
    <t>Pond's perfect matte</t>
  </si>
  <si>
    <t>PND B</t>
  </si>
  <si>
    <t>PND C</t>
  </si>
  <si>
    <t>Wardah facial wash</t>
  </si>
  <si>
    <t>WRD</t>
  </si>
  <si>
    <t>Gatsby musky</t>
  </si>
  <si>
    <t>175 ml</t>
  </si>
  <si>
    <t>GTS</t>
  </si>
  <si>
    <t>All stars</t>
  </si>
  <si>
    <t>AST</t>
  </si>
  <si>
    <t>Floridina orange</t>
  </si>
  <si>
    <t>360 ml</t>
  </si>
  <si>
    <t>FRD</t>
  </si>
  <si>
    <t>YCC B</t>
  </si>
  <si>
    <t>PEMBERSIH</t>
  </si>
  <si>
    <t>Vixal lebih wangi</t>
  </si>
  <si>
    <t>800 ml</t>
  </si>
  <si>
    <t>VAL A</t>
  </si>
  <si>
    <t>VAL B</t>
  </si>
  <si>
    <t>Vixal kuat narum</t>
  </si>
  <si>
    <t>VAL C</t>
  </si>
  <si>
    <t>VAL D</t>
  </si>
  <si>
    <t>Tiky jeruk mangga madu</t>
  </si>
  <si>
    <t xml:space="preserve">Aquarius </t>
  </si>
  <si>
    <t>ADC</t>
  </si>
  <si>
    <t>Teh hijau rasa apel hijau</t>
  </si>
  <si>
    <t>225 ml</t>
  </si>
  <si>
    <t xml:space="preserve">THA </t>
  </si>
  <si>
    <t>Kapal Api Kopi Susu</t>
  </si>
  <si>
    <t>31 g</t>
  </si>
  <si>
    <t>KPL</t>
  </si>
  <si>
    <t>Tora Bika full Cream</t>
  </si>
  <si>
    <t>30 g</t>
  </si>
  <si>
    <t>TRB</t>
  </si>
  <si>
    <t>Sido Muncul kopi Jahe</t>
  </si>
  <si>
    <t>28 g</t>
  </si>
  <si>
    <t>SDM</t>
  </si>
  <si>
    <t>Anget Sari Kopi Jahe</t>
  </si>
  <si>
    <t>AGT A</t>
  </si>
  <si>
    <t>Anget Sari susu  Jahe</t>
  </si>
  <si>
    <t>AGT B</t>
  </si>
  <si>
    <t>Kuku Bima Kopi gingseng</t>
  </si>
  <si>
    <t>32 g</t>
  </si>
  <si>
    <t>KKM</t>
  </si>
  <si>
    <t>Jahe Jreeng</t>
  </si>
  <si>
    <t>JHE</t>
  </si>
  <si>
    <t xml:space="preserve">Energen Vanila </t>
  </si>
  <si>
    <t>ENR</t>
  </si>
  <si>
    <t>Indomilk Putih</t>
  </si>
  <si>
    <t>42 g</t>
  </si>
  <si>
    <t xml:space="preserve">IDM A </t>
  </si>
  <si>
    <t>Indomilk Coklat</t>
  </si>
  <si>
    <t>IDM B</t>
  </si>
  <si>
    <t>Sari Wangi</t>
  </si>
  <si>
    <t>9.25 g</t>
  </si>
  <si>
    <t>SRW</t>
  </si>
  <si>
    <t>Zuperr keju</t>
  </si>
  <si>
    <t>ZPR</t>
  </si>
  <si>
    <t>13 g</t>
  </si>
  <si>
    <t>Fullo Vanila</t>
  </si>
  <si>
    <t>FLO A</t>
  </si>
  <si>
    <t>Fullo Twist</t>
  </si>
  <si>
    <t>FLO B</t>
  </si>
  <si>
    <t>Chocolatos</t>
  </si>
  <si>
    <t>CHC</t>
  </si>
  <si>
    <t>12.5 g</t>
  </si>
  <si>
    <t>Choclate bigar</t>
  </si>
  <si>
    <t>CHB</t>
  </si>
  <si>
    <t xml:space="preserve">jumlah </t>
  </si>
  <si>
    <t>barang yg kurang</t>
  </si>
  <si>
    <t>II.11. HASIL YANG INGIN DI CAPAI</t>
  </si>
  <si>
    <t>Richeese nabati Banana</t>
  </si>
  <si>
    <t>Gery Toya Toya pisang</t>
  </si>
  <si>
    <t>WFL</t>
  </si>
  <si>
    <t>Morillo Balado pedas</t>
  </si>
  <si>
    <t>MRL A</t>
  </si>
  <si>
    <t>Morillo cream choclate</t>
  </si>
  <si>
    <t>MRL B</t>
  </si>
  <si>
    <t>Top caramel</t>
  </si>
  <si>
    <t>280 g</t>
  </si>
  <si>
    <t>Fenisia crim coklat</t>
  </si>
  <si>
    <t>Fenisia crim vanila</t>
  </si>
  <si>
    <t>FPW C</t>
  </si>
  <si>
    <t>KMC E</t>
  </si>
  <si>
    <t xml:space="preserve">TWS </t>
  </si>
  <si>
    <t>Beng-beng karamel</t>
  </si>
  <si>
    <t>Beng-beng hazelnut</t>
  </si>
  <si>
    <t>BKT A</t>
  </si>
  <si>
    <t>BKT B</t>
  </si>
  <si>
    <t>16,5 g</t>
  </si>
  <si>
    <t>Ahh triple cheese</t>
  </si>
  <si>
    <t>TOP A</t>
  </si>
  <si>
    <t>TOP B</t>
  </si>
  <si>
    <t>Indomie goreng</t>
  </si>
  <si>
    <t>FFG</t>
  </si>
  <si>
    <t>Emeron</t>
  </si>
  <si>
    <t>7 ml</t>
  </si>
  <si>
    <t>EEN</t>
  </si>
  <si>
    <t>Head &amp; shoulders</t>
  </si>
  <si>
    <t>10 ml</t>
  </si>
  <si>
    <t>HSS</t>
  </si>
  <si>
    <t>Sunslik hair fall</t>
  </si>
  <si>
    <t>SNS B</t>
  </si>
  <si>
    <t>Sunslik S&amp;S</t>
  </si>
  <si>
    <t>SNS C</t>
  </si>
  <si>
    <t>LFB B</t>
  </si>
  <si>
    <t>Clear women</t>
  </si>
  <si>
    <t>CLR C</t>
  </si>
  <si>
    <t>Clear ice mentol</t>
  </si>
  <si>
    <t>CLR D</t>
  </si>
  <si>
    <t>Claudia Silky Soft</t>
  </si>
</sst>
</file>

<file path=xl/styles.xml><?xml version="1.0" encoding="utf-8"?>
<styleSheet xmlns="http://schemas.openxmlformats.org/spreadsheetml/2006/main">
  <numFmts count="5">
    <numFmt numFmtId="42" formatCode="_(&quot;Rp&quot;* #,##0_);_(&quot;Rp&quot;* \(#,##0\);_(&quot;Rp&quot;* &quot;-&quot;_);_(@_)"/>
    <numFmt numFmtId="43" formatCode="_(* #,##0.00_);_(* \(#,##0.00\);_(* &quot;-&quot;??_);_(@_)"/>
    <numFmt numFmtId="164" formatCode="&quot;$&quot;#,##0.00_);\(&quot;$&quot;#,##0.00\)"/>
    <numFmt numFmtId="165" formatCode="_(&quot;$&quot;* #,##0.00_);_(&quot;$&quot;* \(#,##0.00\);_(&quot;$&quot;* &quot;-&quot;??_);_(@_)"/>
    <numFmt numFmtId="166" formatCode="_([$Rp-421]* #,##0.00_);_([$Rp-421]* \(#,##0.00\);_([$Rp-421]* &quot;-&quot;??_);_(@_)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6">
    <xf numFmtId="0" fontId="0" fillId="0" borderId="0" xfId="0"/>
    <xf numFmtId="0" fontId="0" fillId="0" borderId="0" xfId="0" applyFill="1" applyAlignment="1">
      <alignment horizontal="center"/>
    </xf>
    <xf numFmtId="0" fontId="0" fillId="0" borderId="1" xfId="0" applyFill="1" applyBorder="1" applyAlignment="1">
      <alignment wrapText="1"/>
    </xf>
    <xf numFmtId="0" fontId="0" fillId="0" borderId="1" xfId="0" applyFill="1" applyBorder="1" applyAlignment="1">
      <alignment horizontal="center"/>
    </xf>
    <xf numFmtId="166" fontId="0" fillId="0" borderId="1" xfId="0" applyNumberFormat="1" applyFill="1" applyBorder="1"/>
    <xf numFmtId="166" fontId="0" fillId="0" borderId="1" xfId="1" applyNumberFormat="1" applyFont="1" applyFill="1" applyBorder="1"/>
    <xf numFmtId="164" fontId="0" fillId="0" borderId="1" xfId="0" applyNumberFormat="1" applyFill="1" applyBorder="1" applyAlignment="1">
      <alignment horizontal="center"/>
    </xf>
    <xf numFmtId="0" fontId="3" fillId="0" borderId="1" xfId="0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center"/>
    </xf>
    <xf numFmtId="166" fontId="3" fillId="0" borderId="1" xfId="1" applyNumberFormat="1" applyFont="1" applyFill="1" applyBorder="1"/>
    <xf numFmtId="166" fontId="3" fillId="0" borderId="1" xfId="0" applyNumberFormat="1" applyFont="1" applyFill="1" applyBorder="1" applyAlignment="1">
      <alignment horizontal="center"/>
    </xf>
    <xf numFmtId="166" fontId="3" fillId="0" borderId="1" xfId="1" applyNumberFormat="1" applyFont="1" applyFill="1" applyBorder="1" applyAlignment="1">
      <alignment horizontal="center"/>
    </xf>
    <xf numFmtId="0" fontId="0" fillId="0" borderId="2" xfId="0" applyFill="1" applyBorder="1" applyAlignment="1">
      <alignment wrapText="1"/>
    </xf>
    <xf numFmtId="166" fontId="2" fillId="2" borderId="6" xfId="0" applyNumberFormat="1" applyFont="1" applyFill="1" applyBorder="1" applyAlignment="1">
      <alignment horizontal="center" vertical="center"/>
    </xf>
    <xf numFmtId="166" fontId="2" fillId="2" borderId="5" xfId="0" applyNumberFormat="1" applyFont="1" applyFill="1" applyBorder="1" applyAlignment="1">
      <alignment horizontal="center" vertical="center"/>
    </xf>
    <xf numFmtId="166" fontId="2" fillId="2" borderId="6" xfId="1" applyNumberFormat="1" applyFont="1" applyFill="1" applyBorder="1" applyAlignment="1">
      <alignment horizontal="center" vertical="center"/>
    </xf>
    <xf numFmtId="166" fontId="2" fillId="2" borderId="5" xfId="1" applyNumberFormat="1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/>
    </xf>
    <xf numFmtId="0" fontId="0" fillId="0" borderId="5" xfId="0" applyFill="1" applyBorder="1" applyAlignment="1">
      <alignment wrapText="1"/>
    </xf>
    <xf numFmtId="166" fontId="0" fillId="0" borderId="5" xfId="0" applyNumberFormat="1" applyFill="1" applyBorder="1"/>
    <xf numFmtId="166" fontId="0" fillId="0" borderId="5" xfId="1" applyNumberFormat="1" applyFont="1" applyFill="1" applyBorder="1"/>
    <xf numFmtId="0" fontId="0" fillId="0" borderId="6" xfId="0" applyFill="1" applyBorder="1" applyAlignment="1">
      <alignment horizontal="center"/>
    </xf>
    <xf numFmtId="166" fontId="0" fillId="0" borderId="6" xfId="1" applyNumberFormat="1" applyFont="1" applyFill="1" applyBorder="1"/>
    <xf numFmtId="0" fontId="0" fillId="0" borderId="10" xfId="0" applyFill="1" applyBorder="1" applyAlignment="1">
      <alignment wrapText="1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166" fontId="3" fillId="0" borderId="0" xfId="0" applyNumberFormat="1" applyFont="1" applyFill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166" fontId="3" fillId="2" borderId="1" xfId="0" applyNumberFormat="1" applyFont="1" applyFill="1" applyBorder="1" applyAlignment="1">
      <alignment horizontal="center"/>
    </xf>
    <xf numFmtId="166" fontId="3" fillId="2" borderId="1" xfId="1" applyNumberFormat="1" applyFont="1" applyFill="1" applyBorder="1" applyAlignment="1">
      <alignment horizontal="center"/>
    </xf>
    <xf numFmtId="166" fontId="0" fillId="2" borderId="1" xfId="0" applyNumberFormat="1" applyFill="1" applyBorder="1"/>
    <xf numFmtId="166" fontId="3" fillId="2" borderId="1" xfId="1" applyNumberFormat="1" applyFont="1" applyFill="1" applyBorder="1"/>
    <xf numFmtId="165" fontId="2" fillId="2" borderId="6" xfId="0" applyNumberFormat="1" applyFont="1" applyFill="1" applyBorder="1" applyAlignment="1">
      <alignment horizontal="center" vertical="center"/>
    </xf>
    <xf numFmtId="165" fontId="2" fillId="2" borderId="5" xfId="0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0" borderId="1" xfId="0" applyBorder="1"/>
    <xf numFmtId="43" fontId="0" fillId="0" borderId="1" xfId="2" applyFont="1" applyBorder="1"/>
    <xf numFmtId="0" fontId="3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3" borderId="1" xfId="0" applyFill="1" applyBorder="1"/>
    <xf numFmtId="0" fontId="0" fillId="0" borderId="1" xfId="0" applyFill="1" applyBorder="1"/>
    <xf numFmtId="0" fontId="3" fillId="0" borderId="1" xfId="0" applyFont="1" applyBorder="1" applyAlignment="1">
      <alignment horizontal="center"/>
    </xf>
    <xf numFmtId="0" fontId="4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4" fillId="0" borderId="0" xfId="0" applyFont="1" applyFill="1" applyAlignment="1">
      <alignment wrapText="1"/>
    </xf>
    <xf numFmtId="165" fontId="4" fillId="0" borderId="0" xfId="0" applyNumberFormat="1" applyFont="1" applyFill="1" applyAlignment="1">
      <alignment horizontal="center"/>
    </xf>
    <xf numFmtId="166" fontId="4" fillId="0" borderId="0" xfId="0" applyNumberFormat="1" applyFont="1" applyFill="1"/>
    <xf numFmtId="166" fontId="4" fillId="0" borderId="0" xfId="1" applyNumberFormat="1" applyFont="1" applyFill="1"/>
    <xf numFmtId="0" fontId="4" fillId="0" borderId="0" xfId="0" applyFont="1"/>
    <xf numFmtId="0" fontId="4" fillId="0" borderId="0" xfId="0" applyFont="1" applyFill="1"/>
    <xf numFmtId="42" fontId="4" fillId="0" borderId="0" xfId="0" applyNumberFormat="1" applyFont="1"/>
    <xf numFmtId="165" fontId="5" fillId="2" borderId="6" xfId="0" applyNumberFormat="1" applyFont="1" applyFill="1" applyBorder="1" applyAlignment="1">
      <alignment horizontal="center" vertical="center"/>
    </xf>
    <xf numFmtId="166" fontId="5" fillId="2" borderId="6" xfId="0" applyNumberFormat="1" applyFont="1" applyFill="1" applyBorder="1" applyAlignment="1">
      <alignment horizontal="center" vertical="center"/>
    </xf>
    <xf numFmtId="166" fontId="5" fillId="2" borderId="6" xfId="1" applyNumberFormat="1" applyFont="1" applyFill="1" applyBorder="1" applyAlignment="1">
      <alignment horizontal="center" vertical="center"/>
    </xf>
    <xf numFmtId="42" fontId="4" fillId="0" borderId="0" xfId="0" applyNumberFormat="1" applyFont="1" applyFill="1"/>
    <xf numFmtId="165" fontId="5" fillId="2" borderId="5" xfId="0" applyNumberFormat="1" applyFont="1" applyFill="1" applyBorder="1" applyAlignment="1">
      <alignment horizontal="center" vertical="center"/>
    </xf>
    <xf numFmtId="166" fontId="5" fillId="2" borderId="5" xfId="0" applyNumberFormat="1" applyFont="1" applyFill="1" applyBorder="1" applyAlignment="1">
      <alignment horizontal="center" vertical="center"/>
    </xf>
    <xf numFmtId="166" fontId="5" fillId="2" borderId="5" xfId="1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166" fontId="4" fillId="0" borderId="0" xfId="0" applyNumberFormat="1" applyFont="1" applyAlignment="1">
      <alignment vertical="center"/>
    </xf>
    <xf numFmtId="0" fontId="4" fillId="0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wrapText="1"/>
    </xf>
    <xf numFmtId="166" fontId="4" fillId="0" borderId="1" xfId="0" applyNumberFormat="1" applyFont="1" applyFill="1" applyBorder="1"/>
    <xf numFmtId="166" fontId="4" fillId="0" borderId="1" xfId="1" applyNumberFormat="1" applyFont="1" applyFill="1" applyBorder="1"/>
    <xf numFmtId="0" fontId="4" fillId="0" borderId="0" xfId="0" applyFont="1" applyFill="1" applyBorder="1"/>
    <xf numFmtId="0" fontId="4" fillId="5" borderId="1" xfId="0" applyFont="1" applyFill="1" applyBorder="1" applyAlignment="1">
      <alignment horizontal="center"/>
    </xf>
    <xf numFmtId="164" fontId="4" fillId="0" borderId="1" xfId="0" applyNumberFormat="1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/>
    </xf>
    <xf numFmtId="0" fontId="4" fillId="0" borderId="10" xfId="0" applyFont="1" applyFill="1" applyBorder="1" applyAlignment="1">
      <alignment wrapText="1"/>
    </xf>
    <xf numFmtId="0" fontId="4" fillId="0" borderId="6" xfId="0" applyFont="1" applyFill="1" applyBorder="1" applyAlignment="1">
      <alignment horizontal="center"/>
    </xf>
    <xf numFmtId="166" fontId="4" fillId="0" borderId="6" xfId="1" applyNumberFormat="1" applyFont="1" applyFill="1" applyBorder="1"/>
    <xf numFmtId="0" fontId="4" fillId="0" borderId="2" xfId="0" applyFont="1" applyFill="1" applyBorder="1" applyAlignment="1">
      <alignment wrapText="1"/>
    </xf>
    <xf numFmtId="0" fontId="4" fillId="0" borderId="5" xfId="0" applyFont="1" applyFill="1" applyBorder="1" applyAlignment="1">
      <alignment wrapText="1"/>
    </xf>
    <xf numFmtId="0" fontId="4" fillId="0" borderId="5" xfId="0" applyFont="1" applyFill="1" applyBorder="1" applyAlignment="1">
      <alignment horizontal="center"/>
    </xf>
    <xf numFmtId="166" fontId="4" fillId="0" borderId="5" xfId="0" applyNumberFormat="1" applyFont="1" applyFill="1" applyBorder="1"/>
    <xf numFmtId="166" fontId="4" fillId="0" borderId="5" xfId="1" applyNumberFormat="1" applyFont="1" applyFill="1" applyBorder="1"/>
    <xf numFmtId="166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66" fontId="6" fillId="0" borderId="0" xfId="0" applyNumberFormat="1" applyFont="1" applyFill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1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166" fontId="6" fillId="2" borderId="1" xfId="0" applyNumberFormat="1" applyFont="1" applyFill="1" applyBorder="1" applyAlignment="1">
      <alignment horizontal="center"/>
    </xf>
    <xf numFmtId="166" fontId="6" fillId="2" borderId="1" xfId="1" applyNumberFormat="1" applyFont="1" applyFill="1" applyBorder="1" applyAlignment="1">
      <alignment horizontal="center"/>
    </xf>
    <xf numFmtId="166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Fill="1" applyAlignment="1">
      <alignment horizontal="center"/>
    </xf>
    <xf numFmtId="0" fontId="6" fillId="0" borderId="1" xfId="0" applyFont="1" applyFill="1" applyBorder="1" applyAlignment="1">
      <alignment horizontal="center" wrapText="1"/>
    </xf>
    <xf numFmtId="0" fontId="6" fillId="0" borderId="1" xfId="0" applyFont="1" applyFill="1" applyBorder="1" applyAlignment="1">
      <alignment horizontal="center"/>
    </xf>
    <xf numFmtId="166" fontId="6" fillId="0" borderId="1" xfId="0" applyNumberFormat="1" applyFont="1" applyFill="1" applyBorder="1" applyAlignment="1">
      <alignment horizontal="center"/>
    </xf>
    <xf numFmtId="166" fontId="6" fillId="0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0" borderId="5" xfId="0" applyFont="1" applyFill="1" applyBorder="1" applyAlignment="1">
      <alignment horizontal="center"/>
    </xf>
    <xf numFmtId="166" fontId="4" fillId="2" borderId="1" xfId="0" applyNumberFormat="1" applyFont="1" applyFill="1" applyBorder="1"/>
    <xf numFmtId="166" fontId="6" fillId="2" borderId="1" xfId="1" applyNumberFormat="1" applyFont="1" applyFill="1" applyBorder="1"/>
    <xf numFmtId="166" fontId="4" fillId="0" borderId="0" xfId="0" applyNumberFormat="1" applyFont="1"/>
    <xf numFmtId="0" fontId="7" fillId="0" borderId="1" xfId="0" applyFont="1" applyFill="1" applyBorder="1" applyAlignment="1">
      <alignment horizontal="center"/>
    </xf>
    <xf numFmtId="0" fontId="6" fillId="0" borderId="5" xfId="0" applyFont="1" applyFill="1" applyBorder="1" applyAlignment="1">
      <alignment horizontal="center"/>
    </xf>
    <xf numFmtId="166" fontId="6" fillId="0" borderId="1" xfId="1" applyNumberFormat="1" applyFont="1" applyFill="1" applyBorder="1"/>
    <xf numFmtId="166" fontId="4" fillId="4" borderId="1" xfId="0" applyNumberFormat="1" applyFont="1" applyFill="1" applyBorder="1"/>
    <xf numFmtId="0" fontId="5" fillId="2" borderId="5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166" fontId="6" fillId="2" borderId="6" xfId="1" applyNumberFormat="1" applyFont="1" applyFill="1" applyBorder="1" applyAlignment="1">
      <alignment horizontal="center" vertical="center"/>
    </xf>
    <xf numFmtId="166" fontId="6" fillId="2" borderId="5" xfId="1" applyNumberFormat="1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textRotation="90"/>
    </xf>
    <xf numFmtId="0" fontId="5" fillId="2" borderId="5" xfId="0" applyFont="1" applyFill="1" applyBorder="1" applyAlignment="1">
      <alignment horizontal="center" vertical="center" textRotation="90"/>
    </xf>
    <xf numFmtId="0" fontId="6" fillId="2" borderId="9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166" fontId="6" fillId="2" borderId="6" xfId="0" applyNumberFormat="1" applyFont="1" applyFill="1" applyBorder="1" applyAlignment="1">
      <alignment horizontal="left" vertical="center"/>
    </xf>
    <xf numFmtId="166" fontId="6" fillId="2" borderId="5" xfId="0" applyNumberFormat="1" applyFont="1" applyFill="1" applyBorder="1" applyAlignment="1">
      <alignment horizontal="left" vertical="center"/>
    </xf>
    <xf numFmtId="166" fontId="6" fillId="2" borderId="6" xfId="0" applyNumberFormat="1" applyFont="1" applyFill="1" applyBorder="1" applyAlignment="1">
      <alignment horizontal="center" vertical="center"/>
    </xf>
    <xf numFmtId="166" fontId="6" fillId="2" borderId="5" xfId="0" applyNumberFormat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166" fontId="3" fillId="2" borderId="6" xfId="0" applyNumberFormat="1" applyFont="1" applyFill="1" applyBorder="1" applyAlignment="1">
      <alignment horizontal="left" vertical="center"/>
    </xf>
    <xf numFmtId="166" fontId="3" fillId="2" borderId="5" xfId="0" applyNumberFormat="1" applyFont="1" applyFill="1" applyBorder="1" applyAlignment="1">
      <alignment horizontal="left" vertical="center"/>
    </xf>
    <xf numFmtId="166" fontId="3" fillId="2" borderId="6" xfId="1" applyNumberFormat="1" applyFont="1" applyFill="1" applyBorder="1" applyAlignment="1">
      <alignment horizontal="center" vertical="center"/>
    </xf>
    <xf numFmtId="166" fontId="3" fillId="2" borderId="5" xfId="1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66" fontId="3" fillId="2" borderId="6" xfId="0" applyNumberFormat="1" applyFont="1" applyFill="1" applyBorder="1" applyAlignment="1">
      <alignment horizontal="center" vertical="center"/>
    </xf>
    <xf numFmtId="166" fontId="3" fillId="2" borderId="5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textRotation="90"/>
    </xf>
    <xf numFmtId="0" fontId="2" fillId="2" borderId="5" xfId="0" applyFont="1" applyFill="1" applyBorder="1" applyAlignment="1">
      <alignment horizontal="center" vertical="center" textRotation="90"/>
    </xf>
  </cellXfs>
  <cellStyles count="3">
    <cellStyle name="Comma" xfId="2" builtinId="3"/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52"/>
  <sheetViews>
    <sheetView showGridLines="0" tabSelected="1" workbookViewId="0">
      <selection activeCell="K240" sqref="K240"/>
    </sheetView>
  </sheetViews>
  <sheetFormatPr defaultRowHeight="12.75"/>
  <cols>
    <col min="1" max="1" width="3.85546875" style="45" customWidth="1"/>
    <col min="2" max="2" width="10.28515625" style="46" customWidth="1"/>
    <col min="3" max="3" width="27" style="47" customWidth="1"/>
    <col min="4" max="5" width="5.85546875" style="45" customWidth="1"/>
    <col min="6" max="6" width="4" style="45" customWidth="1"/>
    <col min="7" max="7" width="14.42578125" style="48" customWidth="1"/>
    <col min="8" max="8" width="14.85546875" style="49" customWidth="1"/>
    <col min="9" max="9" width="14.42578125" style="50" customWidth="1"/>
    <col min="10" max="10" width="15.5703125" style="51" bestFit="1" customWidth="1"/>
    <col min="11" max="11" width="16.85546875" style="51" customWidth="1"/>
    <col min="12" max="12" width="15.5703125" style="51" bestFit="1" customWidth="1"/>
    <col min="13" max="13" width="12.85546875" style="51" bestFit="1" customWidth="1"/>
    <col min="14" max="16384" width="9.140625" style="51"/>
  </cols>
  <sheetData>
    <row r="1" spans="1:13">
      <c r="C1" s="47" t="s">
        <v>546</v>
      </c>
    </row>
    <row r="2" spans="1:13">
      <c r="C2" s="47" t="s">
        <v>275</v>
      </c>
    </row>
    <row r="3" spans="1:13">
      <c r="J3" s="52"/>
      <c r="K3" s="49"/>
      <c r="M3" s="53"/>
    </row>
    <row r="4" spans="1:13" s="52" customFormat="1">
      <c r="A4" s="116" t="s">
        <v>0</v>
      </c>
      <c r="B4" s="116" t="s">
        <v>1</v>
      </c>
      <c r="C4" s="117" t="s">
        <v>2</v>
      </c>
      <c r="D4" s="116" t="s">
        <v>3</v>
      </c>
      <c r="E4" s="116" t="s">
        <v>4</v>
      </c>
      <c r="F4" s="118" t="s">
        <v>278</v>
      </c>
      <c r="G4" s="54" t="s">
        <v>273</v>
      </c>
      <c r="H4" s="55" t="s">
        <v>273</v>
      </c>
      <c r="I4" s="56" t="s">
        <v>274</v>
      </c>
      <c r="J4" s="49"/>
      <c r="L4" s="57"/>
    </row>
    <row r="5" spans="1:13" s="61" customFormat="1" ht="12" customHeight="1">
      <c r="A5" s="116"/>
      <c r="B5" s="116"/>
      <c r="C5" s="117"/>
      <c r="D5" s="116"/>
      <c r="E5" s="116"/>
      <c r="F5" s="119"/>
      <c r="G5" s="58" t="s">
        <v>276</v>
      </c>
      <c r="H5" s="59" t="s">
        <v>277</v>
      </c>
      <c r="I5" s="60" t="s">
        <v>273</v>
      </c>
      <c r="K5" s="62"/>
      <c r="L5" s="53"/>
    </row>
    <row r="6" spans="1:13" ht="15" customHeight="1">
      <c r="A6" s="63">
        <v>1</v>
      </c>
      <c r="B6" s="64" t="s">
        <v>88</v>
      </c>
      <c r="C6" s="65" t="s">
        <v>6</v>
      </c>
      <c r="D6" s="63" t="s">
        <v>7</v>
      </c>
      <c r="E6" s="63" t="s">
        <v>158</v>
      </c>
      <c r="F6" s="63">
        <v>6</v>
      </c>
      <c r="G6" s="66">
        <f>H6*20/100*4</f>
        <v>800</v>
      </c>
      <c r="H6" s="66">
        <v>1000</v>
      </c>
      <c r="I6" s="67">
        <f>F6*H6</f>
        <v>6000</v>
      </c>
      <c r="J6" s="68"/>
      <c r="L6" s="53"/>
    </row>
    <row r="7" spans="1:13" ht="15" customHeight="1">
      <c r="A7" s="63">
        <v>2</v>
      </c>
      <c r="C7" s="65" t="s">
        <v>8</v>
      </c>
      <c r="D7" s="63" t="s">
        <v>7</v>
      </c>
      <c r="E7" s="63" t="s">
        <v>159</v>
      </c>
      <c r="F7" s="69">
        <v>6</v>
      </c>
      <c r="G7" s="66">
        <f t="shared" ref="G7:G87" si="0">H7*20/100*4</f>
        <v>800</v>
      </c>
      <c r="H7" s="66">
        <v>1000</v>
      </c>
      <c r="I7" s="67">
        <f t="shared" ref="I7:I108" si="1">F7*H7</f>
        <v>6000</v>
      </c>
      <c r="M7" s="53"/>
    </row>
    <row r="8" spans="1:13" ht="15" customHeight="1">
      <c r="A8" s="63">
        <v>3</v>
      </c>
      <c r="C8" s="65" t="s">
        <v>9</v>
      </c>
      <c r="D8" s="70" t="s">
        <v>7</v>
      </c>
      <c r="E8" s="63" t="s">
        <v>160</v>
      </c>
      <c r="F8" s="69">
        <v>5</v>
      </c>
      <c r="G8" s="66">
        <f t="shared" si="0"/>
        <v>800</v>
      </c>
      <c r="H8" s="66">
        <v>1000</v>
      </c>
      <c r="I8" s="67">
        <f t="shared" si="1"/>
        <v>5000</v>
      </c>
    </row>
    <row r="9" spans="1:13" ht="15" customHeight="1">
      <c r="A9" s="63">
        <v>4</v>
      </c>
      <c r="C9" s="65" t="s">
        <v>292</v>
      </c>
      <c r="D9" s="70" t="s">
        <v>290</v>
      </c>
      <c r="E9" s="63" t="s">
        <v>291</v>
      </c>
      <c r="F9" s="69">
        <v>6</v>
      </c>
      <c r="G9" s="66">
        <f t="shared" si="0"/>
        <v>400</v>
      </c>
      <c r="H9" s="66">
        <v>500</v>
      </c>
      <c r="I9" s="67">
        <f t="shared" si="1"/>
        <v>3000</v>
      </c>
      <c r="M9" s="53"/>
    </row>
    <row r="10" spans="1:13" ht="15" customHeight="1">
      <c r="A10" s="63">
        <v>5</v>
      </c>
      <c r="C10" s="65" t="s">
        <v>293</v>
      </c>
      <c r="D10" s="70" t="s">
        <v>21</v>
      </c>
      <c r="E10" s="63" t="s">
        <v>294</v>
      </c>
      <c r="F10" s="69">
        <v>5</v>
      </c>
      <c r="G10" s="66">
        <f t="shared" si="0"/>
        <v>400</v>
      </c>
      <c r="H10" s="66">
        <v>500</v>
      </c>
      <c r="I10" s="67">
        <f t="shared" si="1"/>
        <v>2500</v>
      </c>
    </row>
    <row r="11" spans="1:13" ht="15" customHeight="1">
      <c r="A11" s="63">
        <v>6</v>
      </c>
      <c r="C11" s="65" t="s">
        <v>285</v>
      </c>
      <c r="D11" s="63" t="s">
        <v>10</v>
      </c>
      <c r="E11" s="63" t="s">
        <v>161</v>
      </c>
      <c r="F11" s="69">
        <v>6</v>
      </c>
      <c r="G11" s="66">
        <f t="shared" si="0"/>
        <v>800</v>
      </c>
      <c r="H11" s="66">
        <v>1000</v>
      </c>
      <c r="I11" s="67">
        <f t="shared" si="1"/>
        <v>6000</v>
      </c>
    </row>
    <row r="12" spans="1:13" ht="15" customHeight="1">
      <c r="A12" s="63">
        <v>7</v>
      </c>
      <c r="C12" s="65" t="s">
        <v>286</v>
      </c>
      <c r="D12" s="63" t="s">
        <v>10</v>
      </c>
      <c r="E12" s="63" t="s">
        <v>162</v>
      </c>
      <c r="F12" s="69">
        <v>6</v>
      </c>
      <c r="G12" s="66">
        <f t="shared" si="0"/>
        <v>800</v>
      </c>
      <c r="H12" s="66">
        <v>1000</v>
      </c>
      <c r="I12" s="67">
        <f t="shared" si="1"/>
        <v>6000</v>
      </c>
    </row>
    <row r="13" spans="1:13" ht="15" customHeight="1">
      <c r="A13" s="63">
        <v>8</v>
      </c>
      <c r="C13" s="65" t="s">
        <v>11</v>
      </c>
      <c r="D13" s="63" t="s">
        <v>12</v>
      </c>
      <c r="E13" s="63" t="s">
        <v>163</v>
      </c>
      <c r="F13" s="69">
        <v>6</v>
      </c>
      <c r="G13" s="66">
        <f t="shared" si="0"/>
        <v>800</v>
      </c>
      <c r="H13" s="66">
        <v>1000</v>
      </c>
      <c r="I13" s="67">
        <f t="shared" si="1"/>
        <v>6000</v>
      </c>
    </row>
    <row r="14" spans="1:13" ht="15" customHeight="1">
      <c r="A14" s="63">
        <v>9</v>
      </c>
      <c r="C14" s="65" t="s">
        <v>13</v>
      </c>
      <c r="D14" s="63" t="s">
        <v>14</v>
      </c>
      <c r="E14" s="63" t="s">
        <v>164</v>
      </c>
      <c r="F14" s="63">
        <v>6</v>
      </c>
      <c r="G14" s="66">
        <f t="shared" si="0"/>
        <v>800</v>
      </c>
      <c r="H14" s="66">
        <v>1000</v>
      </c>
      <c r="I14" s="67">
        <f t="shared" si="1"/>
        <v>6000</v>
      </c>
      <c r="M14" s="53"/>
    </row>
    <row r="15" spans="1:13">
      <c r="A15" s="63">
        <v>10</v>
      </c>
      <c r="C15" s="65" t="s">
        <v>15</v>
      </c>
      <c r="D15" s="63" t="s">
        <v>16</v>
      </c>
      <c r="E15" s="63" t="s">
        <v>165</v>
      </c>
      <c r="F15" s="63">
        <v>6</v>
      </c>
      <c r="G15" s="66">
        <f t="shared" si="0"/>
        <v>800</v>
      </c>
      <c r="H15" s="66">
        <v>1000</v>
      </c>
      <c r="I15" s="67">
        <f t="shared" si="1"/>
        <v>6000</v>
      </c>
    </row>
    <row r="16" spans="1:13">
      <c r="A16" s="63">
        <v>11</v>
      </c>
      <c r="C16" s="65" t="s">
        <v>17</v>
      </c>
      <c r="D16" s="63" t="s">
        <v>16</v>
      </c>
      <c r="E16" s="63" t="s">
        <v>166</v>
      </c>
      <c r="F16" s="63">
        <v>6</v>
      </c>
      <c r="G16" s="66">
        <f t="shared" si="0"/>
        <v>800</v>
      </c>
      <c r="H16" s="66">
        <v>1000</v>
      </c>
      <c r="I16" s="67">
        <f t="shared" si="1"/>
        <v>6000</v>
      </c>
    </row>
    <row r="17" spans="1:13">
      <c r="A17" s="63">
        <v>12</v>
      </c>
      <c r="C17" s="65" t="s">
        <v>298</v>
      </c>
      <c r="D17" s="63" t="s">
        <v>23</v>
      </c>
      <c r="E17" s="63" t="s">
        <v>299</v>
      </c>
      <c r="F17" s="63">
        <v>6</v>
      </c>
      <c r="G17" s="66">
        <f t="shared" si="0"/>
        <v>400</v>
      </c>
      <c r="H17" s="66">
        <v>500</v>
      </c>
      <c r="I17" s="67">
        <f t="shared" si="1"/>
        <v>3000</v>
      </c>
      <c r="J17" s="53"/>
      <c r="M17" s="53"/>
    </row>
    <row r="18" spans="1:13">
      <c r="A18" s="63">
        <v>13</v>
      </c>
      <c r="C18" s="65" t="s">
        <v>408</v>
      </c>
      <c r="D18" s="63" t="s">
        <v>23</v>
      </c>
      <c r="E18" s="63" t="s">
        <v>300</v>
      </c>
      <c r="F18" s="63">
        <v>6</v>
      </c>
      <c r="G18" s="66">
        <f t="shared" si="0"/>
        <v>400</v>
      </c>
      <c r="H18" s="66">
        <v>500</v>
      </c>
      <c r="I18" s="67">
        <f t="shared" si="1"/>
        <v>3000</v>
      </c>
    </row>
    <row r="19" spans="1:13">
      <c r="A19" s="63">
        <v>14</v>
      </c>
      <c r="C19" s="65" t="s">
        <v>18</v>
      </c>
      <c r="D19" s="63" t="s">
        <v>19</v>
      </c>
      <c r="E19" s="63" t="s">
        <v>167</v>
      </c>
      <c r="F19" s="63">
        <v>6</v>
      </c>
      <c r="G19" s="66">
        <f t="shared" si="0"/>
        <v>800</v>
      </c>
      <c r="H19" s="66">
        <v>1000</v>
      </c>
      <c r="I19" s="67">
        <f t="shared" si="1"/>
        <v>6000</v>
      </c>
    </row>
    <row r="20" spans="1:13">
      <c r="A20" s="63">
        <v>15</v>
      </c>
      <c r="C20" s="65" t="s">
        <v>20</v>
      </c>
      <c r="D20" s="63" t="s">
        <v>21</v>
      </c>
      <c r="E20" s="63" t="s">
        <v>168</v>
      </c>
      <c r="F20" s="63">
        <v>3</v>
      </c>
      <c r="G20" s="66">
        <f t="shared" si="0"/>
        <v>400</v>
      </c>
      <c r="H20" s="66">
        <v>500</v>
      </c>
      <c r="I20" s="67">
        <f t="shared" si="1"/>
        <v>1500</v>
      </c>
    </row>
    <row r="21" spans="1:13">
      <c r="A21" s="63">
        <v>16</v>
      </c>
      <c r="C21" s="65" t="s">
        <v>22</v>
      </c>
      <c r="D21" s="63" t="s">
        <v>12</v>
      </c>
      <c r="E21" s="63" t="s">
        <v>170</v>
      </c>
      <c r="F21" s="63">
        <v>6</v>
      </c>
      <c r="G21" s="66">
        <f t="shared" si="0"/>
        <v>400</v>
      </c>
      <c r="H21" s="66">
        <v>500</v>
      </c>
      <c r="I21" s="67">
        <f t="shared" si="1"/>
        <v>3000</v>
      </c>
    </row>
    <row r="22" spans="1:13">
      <c r="A22" s="63">
        <v>17</v>
      </c>
      <c r="C22" s="65" t="s">
        <v>284</v>
      </c>
      <c r="D22" s="63" t="s">
        <v>23</v>
      </c>
      <c r="E22" s="63" t="s">
        <v>171</v>
      </c>
      <c r="F22" s="63">
        <v>20</v>
      </c>
      <c r="G22" s="66">
        <f t="shared" si="0"/>
        <v>400</v>
      </c>
      <c r="H22" s="66">
        <v>500</v>
      </c>
      <c r="I22" s="67">
        <f t="shared" si="1"/>
        <v>10000</v>
      </c>
    </row>
    <row r="23" spans="1:13">
      <c r="A23" s="63">
        <v>18</v>
      </c>
      <c r="C23" s="65" t="s">
        <v>547</v>
      </c>
      <c r="D23" s="63" t="s">
        <v>23</v>
      </c>
      <c r="E23" s="63" t="s">
        <v>172</v>
      </c>
      <c r="F23" s="63">
        <v>13</v>
      </c>
      <c r="G23" s="66">
        <f t="shared" si="0"/>
        <v>400</v>
      </c>
      <c r="H23" s="66">
        <v>500</v>
      </c>
      <c r="I23" s="67">
        <f t="shared" si="1"/>
        <v>6500</v>
      </c>
    </row>
    <row r="24" spans="1:13">
      <c r="A24" s="63">
        <v>25</v>
      </c>
      <c r="C24" s="65" t="s">
        <v>296</v>
      </c>
      <c r="D24" s="63" t="s">
        <v>23</v>
      </c>
      <c r="E24" s="63" t="s">
        <v>297</v>
      </c>
      <c r="F24" s="63">
        <v>20</v>
      </c>
      <c r="G24" s="66">
        <f t="shared" si="0"/>
        <v>400</v>
      </c>
      <c r="H24" s="66">
        <v>500</v>
      </c>
      <c r="I24" s="67">
        <f t="shared" si="1"/>
        <v>10000</v>
      </c>
    </row>
    <row r="25" spans="1:13">
      <c r="A25" s="63">
        <v>26</v>
      </c>
      <c r="C25" s="65" t="s">
        <v>26</v>
      </c>
      <c r="D25" s="63" t="s">
        <v>23</v>
      </c>
      <c r="E25" s="63" t="s">
        <v>169</v>
      </c>
      <c r="F25" s="63">
        <v>12</v>
      </c>
      <c r="G25" s="66">
        <f t="shared" si="0"/>
        <v>400</v>
      </c>
      <c r="H25" s="66">
        <v>500</v>
      </c>
      <c r="I25" s="67">
        <f t="shared" si="1"/>
        <v>6000</v>
      </c>
    </row>
    <row r="26" spans="1:13">
      <c r="A26" s="63">
        <v>27</v>
      </c>
      <c r="C26" s="65" t="s">
        <v>413</v>
      </c>
      <c r="D26" s="63" t="s">
        <v>308</v>
      </c>
      <c r="E26" s="63" t="s">
        <v>170</v>
      </c>
      <c r="F26" s="63">
        <v>20</v>
      </c>
      <c r="G26" s="66">
        <f t="shared" si="0"/>
        <v>400</v>
      </c>
      <c r="H26" s="66">
        <v>500</v>
      </c>
      <c r="I26" s="67">
        <f t="shared" si="1"/>
        <v>10000</v>
      </c>
    </row>
    <row r="27" spans="1:13">
      <c r="A27" s="63">
        <v>28</v>
      </c>
      <c r="C27" s="65" t="s">
        <v>548</v>
      </c>
      <c r="D27" s="63" t="s">
        <v>308</v>
      </c>
      <c r="E27" s="63" t="s">
        <v>312</v>
      </c>
      <c r="F27" s="63">
        <v>10</v>
      </c>
      <c r="G27" s="66">
        <f t="shared" si="0"/>
        <v>400</v>
      </c>
      <c r="H27" s="66">
        <v>500</v>
      </c>
      <c r="I27" s="67">
        <f t="shared" si="1"/>
        <v>5000</v>
      </c>
    </row>
    <row r="28" spans="1:13">
      <c r="A28" s="63">
        <v>29</v>
      </c>
      <c r="C28" s="65" t="s">
        <v>311</v>
      </c>
      <c r="D28" s="63" t="s">
        <v>31</v>
      </c>
      <c r="E28" s="63" t="s">
        <v>314</v>
      </c>
      <c r="F28" s="63">
        <v>24</v>
      </c>
      <c r="G28" s="66">
        <f t="shared" si="0"/>
        <v>400</v>
      </c>
      <c r="H28" s="66">
        <v>500</v>
      </c>
      <c r="I28" s="67">
        <f t="shared" si="1"/>
        <v>12000</v>
      </c>
    </row>
    <row r="29" spans="1:13">
      <c r="A29" s="63">
        <v>30</v>
      </c>
      <c r="C29" s="65" t="s">
        <v>313</v>
      </c>
      <c r="D29" s="63" t="s">
        <v>31</v>
      </c>
      <c r="E29" s="63" t="s">
        <v>316</v>
      </c>
      <c r="F29" s="63">
        <v>24</v>
      </c>
      <c r="G29" s="66">
        <f t="shared" si="0"/>
        <v>400</v>
      </c>
      <c r="H29" s="66">
        <v>500</v>
      </c>
      <c r="I29" s="67">
        <f t="shared" si="1"/>
        <v>12000</v>
      </c>
    </row>
    <row r="30" spans="1:13">
      <c r="A30" s="63">
        <v>31</v>
      </c>
      <c r="C30" s="65" t="s">
        <v>315</v>
      </c>
      <c r="D30" s="63" t="s">
        <v>10</v>
      </c>
      <c r="E30" s="63" t="s">
        <v>318</v>
      </c>
      <c r="F30" s="63">
        <v>8</v>
      </c>
      <c r="G30" s="66">
        <f t="shared" si="0"/>
        <v>400</v>
      </c>
      <c r="H30" s="66">
        <v>500</v>
      </c>
      <c r="I30" s="67">
        <f t="shared" si="1"/>
        <v>4000</v>
      </c>
    </row>
    <row r="31" spans="1:13">
      <c r="A31" s="63">
        <v>32</v>
      </c>
      <c r="C31" s="65" t="s">
        <v>317</v>
      </c>
      <c r="D31" s="63" t="s">
        <v>23</v>
      </c>
      <c r="E31" s="63" t="s">
        <v>320</v>
      </c>
      <c r="F31" s="63">
        <v>4</v>
      </c>
      <c r="G31" s="66">
        <f t="shared" si="0"/>
        <v>400</v>
      </c>
      <c r="H31" s="66">
        <v>500</v>
      </c>
      <c r="I31" s="67">
        <f t="shared" si="1"/>
        <v>2000</v>
      </c>
    </row>
    <row r="32" spans="1:13">
      <c r="A32" s="63">
        <v>33</v>
      </c>
      <c r="C32" s="65" t="s">
        <v>319</v>
      </c>
      <c r="D32" s="63" t="s">
        <v>23</v>
      </c>
      <c r="E32" s="63" t="s">
        <v>414</v>
      </c>
      <c r="F32" s="63">
        <v>18</v>
      </c>
      <c r="G32" s="66">
        <f t="shared" si="0"/>
        <v>400</v>
      </c>
      <c r="H32" s="66">
        <v>500</v>
      </c>
      <c r="I32" s="67">
        <f t="shared" si="1"/>
        <v>9000</v>
      </c>
    </row>
    <row r="33" spans="1:9">
      <c r="A33" s="63">
        <v>34</v>
      </c>
      <c r="C33" s="65" t="s">
        <v>415</v>
      </c>
      <c r="D33" s="63" t="s">
        <v>39</v>
      </c>
      <c r="E33" s="63" t="s">
        <v>416</v>
      </c>
      <c r="F33" s="63">
        <v>12</v>
      </c>
      <c r="G33" s="66">
        <f t="shared" si="0"/>
        <v>800</v>
      </c>
      <c r="H33" s="66">
        <v>1000</v>
      </c>
      <c r="I33" s="67">
        <f t="shared" si="1"/>
        <v>12000</v>
      </c>
    </row>
    <row r="34" spans="1:9">
      <c r="A34" s="63">
        <v>35</v>
      </c>
      <c r="C34" s="65" t="s">
        <v>484</v>
      </c>
      <c r="D34" s="63" t="s">
        <v>16</v>
      </c>
      <c r="E34" s="63" t="s">
        <v>485</v>
      </c>
      <c r="F34" s="63">
        <v>6</v>
      </c>
      <c r="G34" s="66">
        <f t="shared" si="0"/>
        <v>800</v>
      </c>
      <c r="H34" s="66">
        <v>1000</v>
      </c>
      <c r="I34" s="67">
        <f t="shared" si="1"/>
        <v>6000</v>
      </c>
    </row>
    <row r="35" spans="1:9">
      <c r="A35" s="63">
        <v>36</v>
      </c>
      <c r="C35" s="65" t="s">
        <v>550</v>
      </c>
      <c r="D35" s="63" t="s">
        <v>308</v>
      </c>
      <c r="E35" s="63" t="s">
        <v>551</v>
      </c>
      <c r="F35" s="63">
        <v>20</v>
      </c>
      <c r="G35" s="66">
        <f t="shared" si="0"/>
        <v>400</v>
      </c>
      <c r="H35" s="66">
        <v>500</v>
      </c>
      <c r="I35" s="67">
        <f t="shared" si="1"/>
        <v>10000</v>
      </c>
    </row>
    <row r="36" spans="1:9">
      <c r="A36" s="63"/>
      <c r="C36" s="65" t="s">
        <v>552</v>
      </c>
      <c r="D36" s="63" t="s">
        <v>308</v>
      </c>
      <c r="E36" s="63" t="s">
        <v>553</v>
      </c>
      <c r="F36" s="63">
        <v>20</v>
      </c>
      <c r="G36" s="66">
        <f t="shared" si="0"/>
        <v>400</v>
      </c>
      <c r="H36" s="66">
        <v>500</v>
      </c>
      <c r="I36" s="67">
        <f t="shared" si="1"/>
        <v>10000</v>
      </c>
    </row>
    <row r="37" spans="1:9">
      <c r="A37" s="63">
        <v>37</v>
      </c>
      <c r="C37" s="65" t="s">
        <v>321</v>
      </c>
      <c r="D37" s="63" t="s">
        <v>12</v>
      </c>
      <c r="E37" s="63" t="s">
        <v>322</v>
      </c>
      <c r="F37" s="63">
        <v>10</v>
      </c>
      <c r="G37" s="66">
        <f t="shared" si="0"/>
        <v>400</v>
      </c>
      <c r="H37" s="66">
        <v>500</v>
      </c>
      <c r="I37" s="67">
        <f t="shared" si="1"/>
        <v>5000</v>
      </c>
    </row>
    <row r="38" spans="1:9">
      <c r="A38" s="63">
        <v>38</v>
      </c>
      <c r="B38" s="71"/>
      <c r="C38" s="72" t="s">
        <v>60</v>
      </c>
      <c r="D38" s="73" t="s">
        <v>61</v>
      </c>
      <c r="E38" s="73" t="s">
        <v>215</v>
      </c>
      <c r="F38" s="73">
        <v>16</v>
      </c>
      <c r="G38" s="66">
        <f t="shared" si="0"/>
        <v>400</v>
      </c>
      <c r="H38" s="66">
        <v>500</v>
      </c>
      <c r="I38" s="74">
        <f>F38*H38</f>
        <v>8000</v>
      </c>
    </row>
    <row r="39" spans="1:9">
      <c r="A39" s="63">
        <v>40</v>
      </c>
      <c r="C39" s="65" t="s">
        <v>309</v>
      </c>
      <c r="D39" s="63" t="s">
        <v>7</v>
      </c>
      <c r="E39" s="63" t="s">
        <v>310</v>
      </c>
      <c r="F39" s="63">
        <v>10</v>
      </c>
      <c r="G39" s="66">
        <f t="shared" si="0"/>
        <v>400</v>
      </c>
      <c r="H39" s="66">
        <v>500</v>
      </c>
      <c r="I39" s="67">
        <f t="shared" si="1"/>
        <v>5000</v>
      </c>
    </row>
    <row r="40" spans="1:9">
      <c r="A40" s="63">
        <v>41</v>
      </c>
      <c r="C40" s="65" t="s">
        <v>27</v>
      </c>
      <c r="D40" s="63" t="s">
        <v>10</v>
      </c>
      <c r="E40" s="63" t="s">
        <v>176</v>
      </c>
      <c r="F40" s="63">
        <v>12</v>
      </c>
      <c r="G40" s="66">
        <f t="shared" si="0"/>
        <v>400</v>
      </c>
      <c r="H40" s="66">
        <v>500</v>
      </c>
      <c r="I40" s="67">
        <f t="shared" si="1"/>
        <v>6000</v>
      </c>
    </row>
    <row r="41" spans="1:9">
      <c r="A41" s="63">
        <v>43</v>
      </c>
      <c r="C41" s="65" t="s">
        <v>29</v>
      </c>
      <c r="D41" s="63" t="s">
        <v>10</v>
      </c>
      <c r="E41" s="63" t="s">
        <v>177</v>
      </c>
      <c r="F41" s="63">
        <v>12</v>
      </c>
      <c r="G41" s="66">
        <f t="shared" si="0"/>
        <v>400</v>
      </c>
      <c r="H41" s="66">
        <v>500</v>
      </c>
      <c r="I41" s="67">
        <f t="shared" si="1"/>
        <v>6000</v>
      </c>
    </row>
    <row r="42" spans="1:9">
      <c r="A42" s="63">
        <v>44</v>
      </c>
      <c r="C42" s="65" t="s">
        <v>30</v>
      </c>
      <c r="D42" s="63" t="s">
        <v>31</v>
      </c>
      <c r="E42" s="63" t="s">
        <v>567</v>
      </c>
      <c r="F42" s="63">
        <v>10</v>
      </c>
      <c r="G42" s="66">
        <f t="shared" si="0"/>
        <v>400</v>
      </c>
      <c r="H42" s="66">
        <v>500</v>
      </c>
      <c r="I42" s="67">
        <f t="shared" si="1"/>
        <v>5000</v>
      </c>
    </row>
    <row r="43" spans="1:9">
      <c r="A43" s="63"/>
      <c r="C43" s="65" t="s">
        <v>554</v>
      </c>
      <c r="D43" s="63" t="s">
        <v>31</v>
      </c>
      <c r="E43" s="63" t="s">
        <v>568</v>
      </c>
      <c r="F43" s="63">
        <v>10</v>
      </c>
      <c r="G43" s="66">
        <f t="shared" si="0"/>
        <v>400</v>
      </c>
      <c r="H43" s="66">
        <v>500</v>
      </c>
      <c r="I43" s="67">
        <f t="shared" si="1"/>
        <v>5000</v>
      </c>
    </row>
    <row r="44" spans="1:9">
      <c r="A44" s="63">
        <v>45</v>
      </c>
      <c r="C44" s="65" t="s">
        <v>32</v>
      </c>
      <c r="D44" s="63" t="s">
        <v>23</v>
      </c>
      <c r="E44" s="63" t="s">
        <v>560</v>
      </c>
      <c r="F44" s="63">
        <v>5</v>
      </c>
      <c r="G44" s="66">
        <f t="shared" si="0"/>
        <v>400</v>
      </c>
      <c r="H44" s="66">
        <v>500</v>
      </c>
      <c r="I44" s="67">
        <f t="shared" si="1"/>
        <v>2500</v>
      </c>
    </row>
    <row r="45" spans="1:9">
      <c r="A45" s="63">
        <v>47</v>
      </c>
      <c r="C45" s="65" t="s">
        <v>288</v>
      </c>
      <c r="D45" s="63" t="s">
        <v>34</v>
      </c>
      <c r="E45" s="63" t="s">
        <v>180</v>
      </c>
      <c r="F45" s="63">
        <v>2</v>
      </c>
      <c r="G45" s="66">
        <f t="shared" si="0"/>
        <v>2400</v>
      </c>
      <c r="H45" s="66">
        <v>3000</v>
      </c>
      <c r="I45" s="67">
        <f t="shared" si="1"/>
        <v>6000</v>
      </c>
    </row>
    <row r="46" spans="1:9">
      <c r="A46" s="63">
        <v>48</v>
      </c>
      <c r="C46" s="65" t="s">
        <v>556</v>
      </c>
      <c r="D46" s="63" t="s">
        <v>555</v>
      </c>
      <c r="E46" s="63" t="s">
        <v>181</v>
      </c>
      <c r="F46" s="63">
        <v>2</v>
      </c>
      <c r="G46" s="66">
        <f t="shared" si="0"/>
        <v>4400</v>
      </c>
      <c r="H46" s="66">
        <v>5500</v>
      </c>
      <c r="I46" s="67">
        <f t="shared" si="1"/>
        <v>11000</v>
      </c>
    </row>
    <row r="47" spans="1:9">
      <c r="A47" s="63"/>
      <c r="C47" s="65" t="s">
        <v>557</v>
      </c>
      <c r="D47" s="63" t="s">
        <v>555</v>
      </c>
      <c r="E47" s="63" t="s">
        <v>558</v>
      </c>
      <c r="F47" s="63">
        <v>2</v>
      </c>
      <c r="G47" s="66">
        <f t="shared" si="0"/>
        <v>4400</v>
      </c>
      <c r="H47" s="66">
        <v>5500</v>
      </c>
      <c r="I47" s="67">
        <f t="shared" si="1"/>
        <v>11000</v>
      </c>
    </row>
    <row r="48" spans="1:9">
      <c r="A48" s="63">
        <v>49</v>
      </c>
      <c r="C48" s="65" t="s">
        <v>35</v>
      </c>
      <c r="D48" s="63" t="s">
        <v>10</v>
      </c>
      <c r="E48" s="63" t="s">
        <v>182</v>
      </c>
      <c r="F48" s="63">
        <v>20</v>
      </c>
      <c r="G48" s="66">
        <f t="shared" si="0"/>
        <v>400</v>
      </c>
      <c r="H48" s="66">
        <v>500</v>
      </c>
      <c r="I48" s="67">
        <f t="shared" si="1"/>
        <v>10000</v>
      </c>
    </row>
    <row r="49" spans="1:9">
      <c r="A49" s="63">
        <v>50</v>
      </c>
      <c r="C49" s="65" t="s">
        <v>36</v>
      </c>
      <c r="D49" s="63" t="s">
        <v>23</v>
      </c>
      <c r="E49" s="63" t="s">
        <v>549</v>
      </c>
      <c r="F49" s="63">
        <v>5</v>
      </c>
      <c r="G49" s="66">
        <f t="shared" si="0"/>
        <v>400</v>
      </c>
      <c r="H49" s="66">
        <v>500</v>
      </c>
      <c r="I49" s="67">
        <f t="shared" si="1"/>
        <v>2500</v>
      </c>
    </row>
    <row r="50" spans="1:9">
      <c r="A50" s="63">
        <v>54</v>
      </c>
      <c r="C50" s="65" t="s">
        <v>40</v>
      </c>
      <c r="D50" s="63" t="s">
        <v>39</v>
      </c>
      <c r="E50" s="63" t="s">
        <v>185</v>
      </c>
      <c r="F50" s="63">
        <v>12</v>
      </c>
      <c r="G50" s="66">
        <f t="shared" si="0"/>
        <v>400</v>
      </c>
      <c r="H50" s="66">
        <v>500</v>
      </c>
      <c r="I50" s="67">
        <f t="shared" si="1"/>
        <v>6000</v>
      </c>
    </row>
    <row r="51" spans="1:9">
      <c r="A51" s="63">
        <v>55</v>
      </c>
      <c r="C51" s="65" t="s">
        <v>41</v>
      </c>
      <c r="D51" s="63" t="s">
        <v>42</v>
      </c>
      <c r="E51" s="63" t="s">
        <v>186</v>
      </c>
      <c r="F51" s="63">
        <v>5</v>
      </c>
      <c r="G51" s="66">
        <f t="shared" si="0"/>
        <v>5200</v>
      </c>
      <c r="H51" s="66">
        <v>6500</v>
      </c>
      <c r="I51" s="67">
        <f t="shared" si="1"/>
        <v>32500</v>
      </c>
    </row>
    <row r="52" spans="1:9">
      <c r="A52" s="63">
        <v>56</v>
      </c>
      <c r="C52" s="65" t="s">
        <v>43</v>
      </c>
      <c r="D52" s="63" t="s">
        <v>44</v>
      </c>
      <c r="E52" s="63" t="s">
        <v>187</v>
      </c>
      <c r="F52" s="63">
        <v>3</v>
      </c>
      <c r="G52" s="66">
        <f t="shared" si="0"/>
        <v>3600</v>
      </c>
      <c r="H52" s="66">
        <v>4500</v>
      </c>
      <c r="I52" s="67">
        <f t="shared" si="1"/>
        <v>13500</v>
      </c>
    </row>
    <row r="53" spans="1:9">
      <c r="A53" s="63">
        <v>57</v>
      </c>
      <c r="C53" s="65" t="s">
        <v>45</v>
      </c>
      <c r="D53" s="63" t="s">
        <v>46</v>
      </c>
      <c r="E53" s="63" t="s">
        <v>188</v>
      </c>
      <c r="F53" s="63">
        <v>3</v>
      </c>
      <c r="G53" s="66">
        <f t="shared" si="0"/>
        <v>3600</v>
      </c>
      <c r="H53" s="66">
        <v>4500</v>
      </c>
      <c r="I53" s="67">
        <f t="shared" si="1"/>
        <v>13500</v>
      </c>
    </row>
    <row r="54" spans="1:9">
      <c r="A54" s="63">
        <v>58</v>
      </c>
      <c r="C54" s="65" t="s">
        <v>47</v>
      </c>
      <c r="D54" s="63" t="s">
        <v>42</v>
      </c>
      <c r="E54" s="63" t="s">
        <v>189</v>
      </c>
      <c r="F54" s="63">
        <v>3</v>
      </c>
      <c r="G54" s="66">
        <f t="shared" si="0"/>
        <v>4400</v>
      </c>
      <c r="H54" s="66">
        <v>5500</v>
      </c>
      <c r="I54" s="67">
        <f t="shared" si="1"/>
        <v>16500</v>
      </c>
    </row>
    <row r="55" spans="1:9">
      <c r="A55" s="63">
        <v>59</v>
      </c>
      <c r="C55" s="65" t="s">
        <v>48</v>
      </c>
      <c r="D55" s="63" t="s">
        <v>42</v>
      </c>
      <c r="E55" s="63" t="s">
        <v>190</v>
      </c>
      <c r="F55" s="63">
        <v>3</v>
      </c>
      <c r="G55" s="66">
        <f t="shared" si="0"/>
        <v>4400</v>
      </c>
      <c r="H55" s="66">
        <v>5500</v>
      </c>
      <c r="I55" s="67">
        <f t="shared" si="1"/>
        <v>16500</v>
      </c>
    </row>
    <row r="56" spans="1:9">
      <c r="A56" s="63">
        <v>60</v>
      </c>
      <c r="C56" s="65" t="s">
        <v>49</v>
      </c>
      <c r="D56" s="63" t="s">
        <v>42</v>
      </c>
      <c r="E56" s="63" t="s">
        <v>191</v>
      </c>
      <c r="F56" s="63">
        <v>3</v>
      </c>
      <c r="G56" s="66">
        <f t="shared" si="0"/>
        <v>4400</v>
      </c>
      <c r="H56" s="66">
        <v>5500</v>
      </c>
      <c r="I56" s="67">
        <f t="shared" si="1"/>
        <v>16500</v>
      </c>
    </row>
    <row r="57" spans="1:9">
      <c r="A57" s="63">
        <v>61</v>
      </c>
      <c r="C57" s="65" t="s">
        <v>50</v>
      </c>
      <c r="D57" s="63" t="s">
        <v>52</v>
      </c>
      <c r="E57" s="63" t="s">
        <v>192</v>
      </c>
      <c r="F57" s="63">
        <v>3</v>
      </c>
      <c r="G57" s="66">
        <f t="shared" si="0"/>
        <v>2400</v>
      </c>
      <c r="H57" s="66">
        <v>3000</v>
      </c>
      <c r="I57" s="67">
        <f t="shared" si="1"/>
        <v>9000</v>
      </c>
    </row>
    <row r="58" spans="1:9">
      <c r="A58" s="63">
        <v>62</v>
      </c>
      <c r="C58" s="65" t="s">
        <v>51</v>
      </c>
      <c r="D58" s="63" t="s">
        <v>52</v>
      </c>
      <c r="E58" s="63" t="s">
        <v>559</v>
      </c>
      <c r="F58" s="63">
        <v>2</v>
      </c>
      <c r="G58" s="66">
        <f t="shared" si="0"/>
        <v>2400</v>
      </c>
      <c r="H58" s="66">
        <v>3000</v>
      </c>
      <c r="I58" s="67">
        <f t="shared" si="1"/>
        <v>6000</v>
      </c>
    </row>
    <row r="59" spans="1:9">
      <c r="A59" s="63">
        <v>64</v>
      </c>
      <c r="C59" s="65" t="s">
        <v>301</v>
      </c>
      <c r="D59" s="63" t="s">
        <v>16</v>
      </c>
      <c r="E59" s="63" t="s">
        <v>302</v>
      </c>
      <c r="F59" s="63">
        <v>5</v>
      </c>
      <c r="G59" s="66">
        <f t="shared" si="0"/>
        <v>400</v>
      </c>
      <c r="H59" s="66">
        <v>500</v>
      </c>
      <c r="I59" s="67">
        <f t="shared" si="1"/>
        <v>2500</v>
      </c>
    </row>
    <row r="60" spans="1:9">
      <c r="A60" s="63">
        <v>65</v>
      </c>
      <c r="C60" s="65" t="s">
        <v>303</v>
      </c>
      <c r="D60" s="63" t="s">
        <v>16</v>
      </c>
      <c r="E60" s="63" t="s">
        <v>304</v>
      </c>
      <c r="F60" s="63">
        <v>5</v>
      </c>
      <c r="G60" s="66">
        <f t="shared" si="0"/>
        <v>400</v>
      </c>
      <c r="H60" s="66">
        <v>500</v>
      </c>
      <c r="I60" s="67">
        <f t="shared" si="1"/>
        <v>2500</v>
      </c>
    </row>
    <row r="61" spans="1:9">
      <c r="A61" s="63">
        <v>66</v>
      </c>
      <c r="C61" s="65" t="s">
        <v>371</v>
      </c>
      <c r="D61" s="63" t="s">
        <v>372</v>
      </c>
      <c r="E61" s="63" t="s">
        <v>373</v>
      </c>
      <c r="F61" s="63">
        <v>1</v>
      </c>
      <c r="G61" s="66">
        <f t="shared" si="0"/>
        <v>60000</v>
      </c>
      <c r="H61" s="66">
        <v>75000</v>
      </c>
      <c r="I61" s="67">
        <f t="shared" si="1"/>
        <v>75000</v>
      </c>
    </row>
    <row r="62" spans="1:9">
      <c r="A62" s="63">
        <v>67</v>
      </c>
      <c r="C62" s="65" t="s">
        <v>374</v>
      </c>
      <c r="D62" s="63" t="s">
        <v>375</v>
      </c>
      <c r="E62" s="63" t="s">
        <v>376</v>
      </c>
      <c r="F62" s="63">
        <v>2</v>
      </c>
      <c r="G62" s="66">
        <f t="shared" si="0"/>
        <v>67200</v>
      </c>
      <c r="H62" s="66">
        <v>84000</v>
      </c>
      <c r="I62" s="67">
        <f t="shared" si="1"/>
        <v>168000</v>
      </c>
    </row>
    <row r="63" spans="1:9">
      <c r="A63" s="63">
        <v>68</v>
      </c>
      <c r="C63" s="65" t="s">
        <v>561</v>
      </c>
      <c r="D63" s="63" t="s">
        <v>410</v>
      </c>
      <c r="E63" s="63" t="s">
        <v>563</v>
      </c>
      <c r="F63" s="63">
        <v>25</v>
      </c>
      <c r="G63" s="66">
        <f t="shared" si="0"/>
        <v>800</v>
      </c>
      <c r="H63" s="66">
        <v>1000</v>
      </c>
      <c r="I63" s="67">
        <f t="shared" si="1"/>
        <v>25000</v>
      </c>
    </row>
    <row r="64" spans="1:9">
      <c r="A64" s="63"/>
      <c r="C64" s="65" t="s">
        <v>562</v>
      </c>
      <c r="D64" s="63" t="s">
        <v>410</v>
      </c>
      <c r="E64" s="63" t="s">
        <v>564</v>
      </c>
      <c r="F64" s="63">
        <v>10</v>
      </c>
      <c r="G64" s="66">
        <f t="shared" si="0"/>
        <v>800</v>
      </c>
      <c r="H64" s="66">
        <v>1000</v>
      </c>
      <c r="I64" s="67">
        <f t="shared" si="1"/>
        <v>10000</v>
      </c>
    </row>
    <row r="65" spans="1:9">
      <c r="A65" s="63">
        <v>69</v>
      </c>
      <c r="C65" s="65" t="s">
        <v>54</v>
      </c>
      <c r="D65" s="63" t="s">
        <v>565</v>
      </c>
      <c r="E65" s="63" t="s">
        <v>195</v>
      </c>
      <c r="F65" s="63">
        <v>15</v>
      </c>
      <c r="G65" s="66">
        <f t="shared" si="0"/>
        <v>400</v>
      </c>
      <c r="H65" s="66">
        <v>500</v>
      </c>
      <c r="I65" s="67">
        <f t="shared" si="1"/>
        <v>7500</v>
      </c>
    </row>
    <row r="66" spans="1:9">
      <c r="A66" s="63">
        <v>70</v>
      </c>
      <c r="B66" s="71"/>
      <c r="C66" s="75" t="s">
        <v>55</v>
      </c>
      <c r="D66" s="63" t="s">
        <v>16</v>
      </c>
      <c r="E66" s="63" t="s">
        <v>196</v>
      </c>
      <c r="F66" s="63">
        <v>8</v>
      </c>
      <c r="G66" s="66">
        <f t="shared" si="0"/>
        <v>400</v>
      </c>
      <c r="H66" s="66">
        <v>500</v>
      </c>
      <c r="I66" s="67">
        <f t="shared" si="1"/>
        <v>4000</v>
      </c>
    </row>
    <row r="67" spans="1:9">
      <c r="A67" s="63">
        <v>71</v>
      </c>
      <c r="C67" s="76" t="s">
        <v>56</v>
      </c>
      <c r="D67" s="77" t="s">
        <v>14</v>
      </c>
      <c r="E67" s="77" t="s">
        <v>197</v>
      </c>
      <c r="F67" s="77">
        <v>4</v>
      </c>
      <c r="G67" s="66">
        <f t="shared" si="0"/>
        <v>400</v>
      </c>
      <c r="H67" s="78">
        <v>500</v>
      </c>
      <c r="I67" s="79">
        <f t="shared" si="1"/>
        <v>2000</v>
      </c>
    </row>
    <row r="68" spans="1:9">
      <c r="A68" s="63">
        <v>72</v>
      </c>
      <c r="C68" s="65" t="s">
        <v>57</v>
      </c>
      <c r="D68" s="63" t="s">
        <v>16</v>
      </c>
      <c r="E68" s="63" t="s">
        <v>198</v>
      </c>
      <c r="F68" s="63">
        <v>21</v>
      </c>
      <c r="G68" s="66">
        <f t="shared" si="0"/>
        <v>400</v>
      </c>
      <c r="H68" s="66">
        <v>500</v>
      </c>
      <c r="I68" s="67">
        <f t="shared" si="1"/>
        <v>10500</v>
      </c>
    </row>
    <row r="69" spans="1:9">
      <c r="A69" s="63">
        <v>73</v>
      </c>
      <c r="C69" s="65" t="s">
        <v>58</v>
      </c>
      <c r="D69" s="63" t="s">
        <v>16</v>
      </c>
      <c r="E69" s="63" t="s">
        <v>199</v>
      </c>
      <c r="F69" s="63">
        <v>20</v>
      </c>
      <c r="G69" s="66">
        <f t="shared" si="0"/>
        <v>400</v>
      </c>
      <c r="H69" s="66">
        <v>500</v>
      </c>
      <c r="I69" s="67">
        <f t="shared" si="1"/>
        <v>10000</v>
      </c>
    </row>
    <row r="70" spans="1:9">
      <c r="A70" s="63">
        <v>74</v>
      </c>
      <c r="C70" s="65" t="s">
        <v>59</v>
      </c>
      <c r="D70" s="63" t="s">
        <v>16</v>
      </c>
      <c r="E70" s="63" t="s">
        <v>200</v>
      </c>
      <c r="F70" s="63">
        <v>22</v>
      </c>
      <c r="G70" s="66">
        <f t="shared" si="0"/>
        <v>400</v>
      </c>
      <c r="H70" s="66">
        <v>500</v>
      </c>
      <c r="I70" s="67">
        <f t="shared" si="1"/>
        <v>11000</v>
      </c>
    </row>
    <row r="71" spans="1:9">
      <c r="A71" s="63">
        <v>75</v>
      </c>
      <c r="C71" s="65" t="s">
        <v>566</v>
      </c>
      <c r="D71" s="63" t="s">
        <v>21</v>
      </c>
      <c r="E71" s="63" t="s">
        <v>306</v>
      </c>
      <c r="F71" s="63">
        <v>10</v>
      </c>
      <c r="G71" s="66">
        <f t="shared" si="0"/>
        <v>400</v>
      </c>
      <c r="H71" s="66">
        <v>500</v>
      </c>
      <c r="I71" s="67">
        <f t="shared" si="1"/>
        <v>5000</v>
      </c>
    </row>
    <row r="72" spans="1:9">
      <c r="A72" s="63">
        <v>77</v>
      </c>
      <c r="C72" s="65" t="s">
        <v>542</v>
      </c>
      <c r="D72" s="63" t="s">
        <v>23</v>
      </c>
      <c r="E72" s="63" t="s">
        <v>543</v>
      </c>
      <c r="F72" s="63">
        <v>24</v>
      </c>
      <c r="G72" s="66">
        <f t="shared" si="0"/>
        <v>400</v>
      </c>
      <c r="H72" s="66">
        <v>500</v>
      </c>
      <c r="I72" s="67">
        <f t="shared" si="1"/>
        <v>12000</v>
      </c>
    </row>
    <row r="73" spans="1:9">
      <c r="A73" s="63">
        <v>78</v>
      </c>
      <c r="C73" s="65" t="s">
        <v>539</v>
      </c>
      <c r="D73" s="63" t="s">
        <v>541</v>
      </c>
      <c r="E73" s="63" t="s">
        <v>540</v>
      </c>
      <c r="F73" s="63">
        <v>24</v>
      </c>
      <c r="G73" s="66">
        <f t="shared" si="0"/>
        <v>400</v>
      </c>
      <c r="H73" s="66">
        <v>500</v>
      </c>
      <c r="I73" s="67">
        <f t="shared" si="1"/>
        <v>12000</v>
      </c>
    </row>
    <row r="74" spans="1:9">
      <c r="A74" s="63">
        <v>79</v>
      </c>
      <c r="C74" s="65" t="s">
        <v>537</v>
      </c>
      <c r="D74" s="63" t="s">
        <v>10</v>
      </c>
      <c r="E74" s="63" t="s">
        <v>536</v>
      </c>
      <c r="F74" s="63">
        <v>20</v>
      </c>
      <c r="G74" s="66">
        <f t="shared" si="0"/>
        <v>400</v>
      </c>
      <c r="H74" s="66">
        <v>500</v>
      </c>
      <c r="I74" s="67">
        <f t="shared" si="1"/>
        <v>10000</v>
      </c>
    </row>
    <row r="75" spans="1:9">
      <c r="A75" s="63">
        <v>80</v>
      </c>
      <c r="C75" s="65" t="s">
        <v>535</v>
      </c>
      <c r="D75" s="63" t="s">
        <v>10</v>
      </c>
      <c r="E75" s="63" t="s">
        <v>538</v>
      </c>
      <c r="F75" s="63">
        <v>20</v>
      </c>
      <c r="G75" s="66">
        <f t="shared" si="0"/>
        <v>400</v>
      </c>
      <c r="H75" s="66">
        <v>500</v>
      </c>
      <c r="I75" s="67">
        <f t="shared" si="1"/>
        <v>10000</v>
      </c>
    </row>
    <row r="76" spans="1:9">
      <c r="A76" s="63">
        <v>81</v>
      </c>
      <c r="C76" s="65" t="s">
        <v>532</v>
      </c>
      <c r="D76" s="63" t="s">
        <v>534</v>
      </c>
      <c r="E76" s="63" t="s">
        <v>533</v>
      </c>
      <c r="F76" s="63">
        <v>20</v>
      </c>
      <c r="G76" s="66">
        <f t="shared" si="0"/>
        <v>400</v>
      </c>
      <c r="H76" s="66">
        <v>500</v>
      </c>
      <c r="I76" s="67">
        <f t="shared" si="1"/>
        <v>10000</v>
      </c>
    </row>
    <row r="77" spans="1:9">
      <c r="A77" s="63">
        <v>82</v>
      </c>
      <c r="C77" s="65" t="s">
        <v>377</v>
      </c>
      <c r="D77" s="63"/>
      <c r="E77" s="63" t="s">
        <v>378</v>
      </c>
      <c r="F77" s="63">
        <v>10</v>
      </c>
      <c r="G77" s="66">
        <f t="shared" si="0"/>
        <v>400</v>
      </c>
      <c r="H77" s="66">
        <v>500</v>
      </c>
      <c r="I77" s="67">
        <f t="shared" si="1"/>
        <v>5000</v>
      </c>
    </row>
    <row r="78" spans="1:9">
      <c r="A78" s="63">
        <v>83</v>
      </c>
      <c r="C78" s="65" t="s">
        <v>379</v>
      </c>
      <c r="D78" s="63"/>
      <c r="E78" s="63" t="s">
        <v>380</v>
      </c>
      <c r="F78" s="63">
        <v>9</v>
      </c>
      <c r="G78" s="66">
        <f t="shared" si="0"/>
        <v>400</v>
      </c>
      <c r="H78" s="66">
        <v>500</v>
      </c>
      <c r="I78" s="67">
        <f t="shared" si="1"/>
        <v>4500</v>
      </c>
    </row>
    <row r="79" spans="1:9">
      <c r="A79" s="63">
        <v>84</v>
      </c>
      <c r="C79" s="65" t="s">
        <v>381</v>
      </c>
      <c r="D79" s="63"/>
      <c r="E79" s="63" t="s">
        <v>382</v>
      </c>
      <c r="F79" s="63">
        <v>20</v>
      </c>
      <c r="G79" s="66">
        <f t="shared" si="0"/>
        <v>400</v>
      </c>
      <c r="H79" s="66">
        <v>500</v>
      </c>
      <c r="I79" s="67">
        <f t="shared" si="1"/>
        <v>10000</v>
      </c>
    </row>
    <row r="80" spans="1:9">
      <c r="A80" s="63">
        <v>85</v>
      </c>
      <c r="C80" s="65" t="s">
        <v>383</v>
      </c>
      <c r="D80" s="63"/>
      <c r="E80" s="63" t="s">
        <v>384</v>
      </c>
      <c r="F80" s="63">
        <v>20</v>
      </c>
      <c r="G80" s="66">
        <f t="shared" si="0"/>
        <v>400</v>
      </c>
      <c r="H80" s="66">
        <v>500</v>
      </c>
      <c r="I80" s="67">
        <f t="shared" si="1"/>
        <v>10000</v>
      </c>
    </row>
    <row r="81" spans="1:10">
      <c r="A81" s="63">
        <v>87</v>
      </c>
      <c r="C81" s="65" t="s">
        <v>98</v>
      </c>
      <c r="D81" s="63" t="s">
        <v>91</v>
      </c>
      <c r="E81" s="63" t="s">
        <v>201</v>
      </c>
      <c r="F81" s="63">
        <v>22</v>
      </c>
      <c r="G81" s="66">
        <f t="shared" si="0"/>
        <v>800</v>
      </c>
      <c r="H81" s="66">
        <v>1000</v>
      </c>
      <c r="I81" s="67">
        <f t="shared" si="1"/>
        <v>22000</v>
      </c>
    </row>
    <row r="82" spans="1:10">
      <c r="A82" s="63">
        <v>88</v>
      </c>
      <c r="C82" s="65" t="s">
        <v>90</v>
      </c>
      <c r="D82" s="63" t="s">
        <v>91</v>
      </c>
      <c r="E82" s="63" t="s">
        <v>202</v>
      </c>
      <c r="F82" s="63">
        <v>18</v>
      </c>
      <c r="G82" s="66">
        <f t="shared" si="0"/>
        <v>800</v>
      </c>
      <c r="H82" s="66">
        <v>1000</v>
      </c>
      <c r="I82" s="67">
        <f>F82*H82</f>
        <v>18000</v>
      </c>
    </row>
    <row r="83" spans="1:10">
      <c r="A83" s="63">
        <v>89</v>
      </c>
      <c r="C83" s="65" t="s">
        <v>92</v>
      </c>
      <c r="D83" s="63" t="s">
        <v>93</v>
      </c>
      <c r="E83" s="63" t="s">
        <v>203</v>
      </c>
      <c r="F83" s="63">
        <v>11</v>
      </c>
      <c r="G83" s="66">
        <f t="shared" si="0"/>
        <v>1200</v>
      </c>
      <c r="H83" s="66">
        <v>1500</v>
      </c>
      <c r="I83" s="67">
        <f>F83*H83</f>
        <v>16500</v>
      </c>
    </row>
    <row r="84" spans="1:10" ht="15" customHeight="1">
      <c r="A84" s="63">
        <v>90</v>
      </c>
      <c r="C84" s="65" t="s">
        <v>94</v>
      </c>
      <c r="D84" s="63" t="s">
        <v>95</v>
      </c>
      <c r="E84" s="63" t="s">
        <v>204</v>
      </c>
      <c r="F84" s="63">
        <v>22</v>
      </c>
      <c r="G84" s="66">
        <f t="shared" si="0"/>
        <v>1200</v>
      </c>
      <c r="H84" s="66">
        <v>1500</v>
      </c>
      <c r="I84" s="67">
        <f>F84*H84</f>
        <v>33000</v>
      </c>
    </row>
    <row r="85" spans="1:10">
      <c r="A85" s="63">
        <v>92</v>
      </c>
      <c r="C85" s="65" t="s">
        <v>96</v>
      </c>
      <c r="D85" s="63" t="s">
        <v>97</v>
      </c>
      <c r="E85" s="63" t="s">
        <v>206</v>
      </c>
      <c r="F85" s="63">
        <v>10</v>
      </c>
      <c r="G85" s="66">
        <f t="shared" si="0"/>
        <v>1200</v>
      </c>
      <c r="H85" s="66">
        <v>1500</v>
      </c>
      <c r="I85" s="67">
        <f t="shared" ref="I85:I87" si="2">F85*H85</f>
        <v>15000</v>
      </c>
    </row>
    <row r="86" spans="1:10">
      <c r="A86" s="63">
        <v>97</v>
      </c>
      <c r="C86" s="65" t="s">
        <v>105</v>
      </c>
      <c r="D86" s="63" t="s">
        <v>129</v>
      </c>
      <c r="E86" s="63" t="s">
        <v>211</v>
      </c>
      <c r="F86" s="63">
        <v>20</v>
      </c>
      <c r="G86" s="66">
        <f t="shared" si="0"/>
        <v>1360</v>
      </c>
      <c r="H86" s="66">
        <v>1700</v>
      </c>
      <c r="I86" s="67">
        <f t="shared" si="2"/>
        <v>34000</v>
      </c>
    </row>
    <row r="87" spans="1:10">
      <c r="A87" s="63">
        <v>99</v>
      </c>
      <c r="C87" s="65" t="s">
        <v>569</v>
      </c>
      <c r="D87" s="63" t="s">
        <v>129</v>
      </c>
      <c r="E87" s="63" t="s">
        <v>213</v>
      </c>
      <c r="F87" s="63">
        <v>16</v>
      </c>
      <c r="G87" s="66">
        <f t="shared" si="0"/>
        <v>2000</v>
      </c>
      <c r="H87" s="66">
        <v>2500</v>
      </c>
      <c r="I87" s="67">
        <f t="shared" si="2"/>
        <v>40000</v>
      </c>
    </row>
    <row r="88" spans="1:10" s="81" customFormat="1">
      <c r="A88" s="115"/>
      <c r="B88" s="120" t="s">
        <v>5</v>
      </c>
      <c r="C88" s="121"/>
      <c r="D88" s="124"/>
      <c r="E88" s="124"/>
      <c r="F88" s="124">
        <f>SUM(F6:F87)</f>
        <v>909</v>
      </c>
      <c r="G88" s="128">
        <f>SUM(G6:G87)</f>
        <v>207760</v>
      </c>
      <c r="H88" s="126">
        <f>SUM(H6:H87)</f>
        <v>259700</v>
      </c>
      <c r="I88" s="113">
        <f>SUM(I6:I87)</f>
        <v>1007500</v>
      </c>
      <c r="J88" s="80"/>
    </row>
    <row r="89" spans="1:10" s="82" customFormat="1">
      <c r="A89" s="115"/>
      <c r="B89" s="122"/>
      <c r="C89" s="123"/>
      <c r="D89" s="125"/>
      <c r="E89" s="125"/>
      <c r="F89" s="125"/>
      <c r="G89" s="129"/>
      <c r="H89" s="127"/>
      <c r="I89" s="114"/>
    </row>
    <row r="90" spans="1:10" s="87" customFormat="1">
      <c r="A90" s="83"/>
      <c r="B90" s="84"/>
      <c r="C90" s="84"/>
      <c r="D90" s="83"/>
      <c r="E90" s="83"/>
      <c r="F90" s="83"/>
      <c r="G90" s="85"/>
      <c r="H90" s="85"/>
      <c r="I90" s="86"/>
    </row>
    <row r="91" spans="1:10">
      <c r="A91" s="88">
        <v>1</v>
      </c>
      <c r="B91" s="64" t="s">
        <v>89</v>
      </c>
      <c r="C91" s="65" t="s">
        <v>62</v>
      </c>
      <c r="D91" s="63" t="s">
        <v>63</v>
      </c>
      <c r="E91" s="63" t="s">
        <v>324</v>
      </c>
      <c r="F91" s="63">
        <v>9</v>
      </c>
      <c r="G91" s="66">
        <f t="shared" ref="G91:G152" si="3">H91*20/100*4</f>
        <v>2000</v>
      </c>
      <c r="H91" s="66">
        <v>2500</v>
      </c>
      <c r="I91" s="67">
        <f t="shared" si="1"/>
        <v>22500</v>
      </c>
    </row>
    <row r="92" spans="1:10">
      <c r="A92" s="63">
        <v>2</v>
      </c>
      <c r="B92" s="89"/>
      <c r="C92" s="65" t="s">
        <v>62</v>
      </c>
      <c r="D92" s="63" t="s">
        <v>323</v>
      </c>
      <c r="E92" s="63" t="s">
        <v>325</v>
      </c>
      <c r="F92" s="63">
        <v>17</v>
      </c>
      <c r="G92" s="66">
        <f t="shared" si="3"/>
        <v>3200</v>
      </c>
      <c r="H92" s="66">
        <v>4000</v>
      </c>
      <c r="I92" s="67">
        <f t="shared" si="1"/>
        <v>68000</v>
      </c>
    </row>
    <row r="93" spans="1:10">
      <c r="A93" s="63">
        <v>3</v>
      </c>
      <c r="B93" s="89"/>
      <c r="C93" s="65" t="s">
        <v>330</v>
      </c>
      <c r="D93" s="63" t="s">
        <v>323</v>
      </c>
      <c r="E93" s="63" t="s">
        <v>331</v>
      </c>
      <c r="F93" s="63">
        <v>5</v>
      </c>
      <c r="G93" s="66">
        <f t="shared" si="3"/>
        <v>3200</v>
      </c>
      <c r="H93" s="66">
        <v>4000</v>
      </c>
      <c r="I93" s="67">
        <f t="shared" si="1"/>
        <v>20000</v>
      </c>
    </row>
    <row r="94" spans="1:10">
      <c r="A94" s="63">
        <v>4</v>
      </c>
      <c r="C94" s="65" t="s">
        <v>64</v>
      </c>
      <c r="D94" s="63" t="s">
        <v>63</v>
      </c>
      <c r="E94" s="63" t="s">
        <v>216</v>
      </c>
      <c r="F94" s="63">
        <v>7</v>
      </c>
      <c r="G94" s="66">
        <f t="shared" si="3"/>
        <v>2000</v>
      </c>
      <c r="H94" s="66">
        <v>2500</v>
      </c>
      <c r="I94" s="67">
        <f t="shared" si="1"/>
        <v>17500</v>
      </c>
    </row>
    <row r="95" spans="1:10">
      <c r="A95" s="63">
        <v>5</v>
      </c>
      <c r="C95" s="65" t="s">
        <v>67</v>
      </c>
      <c r="D95" s="63" t="s">
        <v>63</v>
      </c>
      <c r="E95" s="63" t="s">
        <v>217</v>
      </c>
      <c r="F95" s="63">
        <v>9</v>
      </c>
      <c r="G95" s="66">
        <f t="shared" si="3"/>
        <v>2000</v>
      </c>
      <c r="H95" s="66">
        <v>2500</v>
      </c>
      <c r="I95" s="67">
        <f t="shared" si="1"/>
        <v>22500</v>
      </c>
    </row>
    <row r="96" spans="1:10">
      <c r="A96" s="63">
        <v>6</v>
      </c>
      <c r="C96" s="65" t="s">
        <v>66</v>
      </c>
      <c r="D96" s="63" t="s">
        <v>63</v>
      </c>
      <c r="E96" s="63" t="s">
        <v>332</v>
      </c>
      <c r="F96" s="63">
        <v>6</v>
      </c>
      <c r="G96" s="66">
        <f t="shared" si="3"/>
        <v>2000</v>
      </c>
      <c r="H96" s="66">
        <v>2500</v>
      </c>
      <c r="I96" s="67">
        <f t="shared" si="1"/>
        <v>15000</v>
      </c>
    </row>
    <row r="97" spans="1:9">
      <c r="A97" s="63">
        <v>7</v>
      </c>
      <c r="C97" s="65" t="s">
        <v>65</v>
      </c>
      <c r="D97" s="63" t="s">
        <v>411</v>
      </c>
      <c r="E97" s="63" t="s">
        <v>218</v>
      </c>
      <c r="F97" s="63">
        <v>6</v>
      </c>
      <c r="G97" s="66">
        <f t="shared" si="3"/>
        <v>1600</v>
      </c>
      <c r="H97" s="66">
        <v>2000</v>
      </c>
      <c r="I97" s="67">
        <f t="shared" si="1"/>
        <v>12000</v>
      </c>
    </row>
    <row r="98" spans="1:9">
      <c r="A98" s="63">
        <v>8</v>
      </c>
      <c r="C98" s="65" t="s">
        <v>68</v>
      </c>
      <c r="D98" s="63" t="s">
        <v>63</v>
      </c>
      <c r="E98" s="63" t="s">
        <v>219</v>
      </c>
      <c r="F98" s="63">
        <v>6</v>
      </c>
      <c r="G98" s="66">
        <f t="shared" si="3"/>
        <v>2000</v>
      </c>
      <c r="H98" s="66">
        <v>2500</v>
      </c>
      <c r="I98" s="67">
        <f t="shared" si="1"/>
        <v>15000</v>
      </c>
    </row>
    <row r="99" spans="1:9">
      <c r="A99" s="63">
        <v>9</v>
      </c>
      <c r="C99" s="65" t="s">
        <v>69</v>
      </c>
      <c r="D99" s="63" t="s">
        <v>63</v>
      </c>
      <c r="E99" s="63" t="s">
        <v>220</v>
      </c>
      <c r="F99" s="63">
        <v>6</v>
      </c>
      <c r="G99" s="66">
        <f t="shared" si="3"/>
        <v>4800</v>
      </c>
      <c r="H99" s="66">
        <v>6000</v>
      </c>
      <c r="I99" s="67">
        <f t="shared" si="1"/>
        <v>36000</v>
      </c>
    </row>
    <row r="100" spans="1:9">
      <c r="A100" s="63">
        <v>10</v>
      </c>
      <c r="C100" s="65" t="s">
        <v>70</v>
      </c>
      <c r="D100" s="63" t="s">
        <v>63</v>
      </c>
      <c r="E100" s="63" t="s">
        <v>221</v>
      </c>
      <c r="F100" s="63">
        <v>3</v>
      </c>
      <c r="G100" s="66">
        <f t="shared" si="3"/>
        <v>1600</v>
      </c>
      <c r="H100" s="66">
        <v>2000</v>
      </c>
      <c r="I100" s="67">
        <f t="shared" si="1"/>
        <v>6000</v>
      </c>
    </row>
    <row r="101" spans="1:9">
      <c r="A101" s="63">
        <v>11</v>
      </c>
      <c r="C101" s="65" t="s">
        <v>412</v>
      </c>
      <c r="D101" s="63" t="s">
        <v>63</v>
      </c>
      <c r="E101" s="63" t="s">
        <v>222</v>
      </c>
      <c r="F101" s="63">
        <v>3</v>
      </c>
      <c r="G101" s="66">
        <f t="shared" si="3"/>
        <v>1600</v>
      </c>
      <c r="H101" s="66">
        <v>2000</v>
      </c>
      <c r="I101" s="67">
        <f t="shared" si="1"/>
        <v>6000</v>
      </c>
    </row>
    <row r="102" spans="1:9">
      <c r="A102" s="63">
        <v>12</v>
      </c>
      <c r="C102" s="65" t="s">
        <v>71</v>
      </c>
      <c r="D102" s="63" t="s">
        <v>63</v>
      </c>
      <c r="E102" s="63" t="s">
        <v>223</v>
      </c>
      <c r="F102" s="63">
        <v>8</v>
      </c>
      <c r="G102" s="66">
        <f t="shared" si="3"/>
        <v>1600</v>
      </c>
      <c r="H102" s="66">
        <v>2000</v>
      </c>
      <c r="I102" s="67">
        <f t="shared" si="1"/>
        <v>16000</v>
      </c>
    </row>
    <row r="103" spans="1:9">
      <c r="A103" s="63">
        <v>13</v>
      </c>
      <c r="C103" s="65" t="s">
        <v>72</v>
      </c>
      <c r="D103" s="63" t="s">
        <v>63</v>
      </c>
      <c r="E103" s="63" t="s">
        <v>570</v>
      </c>
      <c r="F103" s="63">
        <v>6</v>
      </c>
      <c r="G103" s="66">
        <f t="shared" si="3"/>
        <v>1600</v>
      </c>
      <c r="H103" s="66">
        <v>2000</v>
      </c>
      <c r="I103" s="67">
        <f t="shared" si="1"/>
        <v>12000</v>
      </c>
    </row>
    <row r="104" spans="1:9">
      <c r="A104" s="63">
        <v>14</v>
      </c>
      <c r="C104" s="65" t="s">
        <v>345</v>
      </c>
      <c r="D104" s="63" t="s">
        <v>153</v>
      </c>
      <c r="E104" s="63" t="s">
        <v>348</v>
      </c>
      <c r="F104" s="63">
        <v>8</v>
      </c>
      <c r="G104" s="66">
        <f t="shared" si="3"/>
        <v>1600</v>
      </c>
      <c r="H104" s="66">
        <v>2000</v>
      </c>
      <c r="I104" s="67">
        <f t="shared" si="1"/>
        <v>16000</v>
      </c>
    </row>
    <row r="105" spans="1:9">
      <c r="A105" s="63">
        <v>15</v>
      </c>
      <c r="C105" s="65" t="s">
        <v>346</v>
      </c>
      <c r="D105" s="63" t="s">
        <v>347</v>
      </c>
      <c r="E105" s="63" t="s">
        <v>349</v>
      </c>
      <c r="F105" s="63">
        <v>10</v>
      </c>
      <c r="G105" s="66">
        <f t="shared" si="3"/>
        <v>1600</v>
      </c>
      <c r="H105" s="66">
        <v>2000</v>
      </c>
      <c r="I105" s="67">
        <f t="shared" si="1"/>
        <v>20000</v>
      </c>
    </row>
    <row r="106" spans="1:9">
      <c r="A106" s="63">
        <v>16</v>
      </c>
      <c r="C106" s="65" t="s">
        <v>501</v>
      </c>
      <c r="D106" s="63" t="s">
        <v>502</v>
      </c>
      <c r="E106" s="63" t="s">
        <v>503</v>
      </c>
      <c r="F106" s="63">
        <v>18</v>
      </c>
      <c r="G106" s="66">
        <f t="shared" si="3"/>
        <v>800</v>
      </c>
      <c r="H106" s="66">
        <v>1000</v>
      </c>
      <c r="I106" s="67">
        <f t="shared" si="1"/>
        <v>18000</v>
      </c>
    </row>
    <row r="107" spans="1:9">
      <c r="A107" s="63">
        <v>17</v>
      </c>
      <c r="C107" s="65" t="s">
        <v>73</v>
      </c>
      <c r="D107" s="63" t="s">
        <v>63</v>
      </c>
      <c r="E107" s="63" t="s">
        <v>224</v>
      </c>
      <c r="F107" s="63">
        <v>4</v>
      </c>
      <c r="G107" s="66">
        <f t="shared" si="3"/>
        <v>1600</v>
      </c>
      <c r="H107" s="66">
        <v>2000</v>
      </c>
      <c r="I107" s="67">
        <f t="shared" si="1"/>
        <v>8000</v>
      </c>
    </row>
    <row r="108" spans="1:9">
      <c r="A108" s="63">
        <v>18</v>
      </c>
      <c r="C108" s="65" t="s">
        <v>74</v>
      </c>
      <c r="D108" s="63" t="s">
        <v>153</v>
      </c>
      <c r="E108" s="63" t="s">
        <v>225</v>
      </c>
      <c r="F108" s="63">
        <v>3</v>
      </c>
      <c r="G108" s="66">
        <f t="shared" si="3"/>
        <v>800</v>
      </c>
      <c r="H108" s="66">
        <v>1000</v>
      </c>
      <c r="I108" s="67">
        <f t="shared" si="1"/>
        <v>3000</v>
      </c>
    </row>
    <row r="109" spans="1:9">
      <c r="A109" s="63">
        <v>19</v>
      </c>
      <c r="C109" s="65" t="s">
        <v>75</v>
      </c>
      <c r="D109" s="63" t="s">
        <v>153</v>
      </c>
      <c r="E109" s="63" t="s">
        <v>226</v>
      </c>
      <c r="F109" s="63">
        <v>3</v>
      </c>
      <c r="G109" s="66">
        <f t="shared" si="3"/>
        <v>800</v>
      </c>
      <c r="H109" s="66">
        <v>1000</v>
      </c>
      <c r="I109" s="67">
        <f t="shared" ref="I109:I204" si="4">F109*H109</f>
        <v>3000</v>
      </c>
    </row>
    <row r="110" spans="1:9">
      <c r="A110" s="63">
        <v>20</v>
      </c>
      <c r="C110" s="65" t="s">
        <v>76</v>
      </c>
      <c r="D110" s="63" t="s">
        <v>63</v>
      </c>
      <c r="E110" s="63" t="s">
        <v>227</v>
      </c>
      <c r="F110" s="63">
        <v>10</v>
      </c>
      <c r="G110" s="66">
        <f t="shared" si="3"/>
        <v>800</v>
      </c>
      <c r="H110" s="66">
        <v>1000</v>
      </c>
      <c r="I110" s="67">
        <f t="shared" si="4"/>
        <v>10000</v>
      </c>
    </row>
    <row r="111" spans="1:9">
      <c r="A111" s="63">
        <v>21</v>
      </c>
      <c r="C111" s="65" t="s">
        <v>77</v>
      </c>
      <c r="D111" s="63" t="s">
        <v>63</v>
      </c>
      <c r="E111" s="63" t="s">
        <v>228</v>
      </c>
      <c r="F111" s="63">
        <v>4</v>
      </c>
      <c r="G111" s="66">
        <f t="shared" si="3"/>
        <v>800</v>
      </c>
      <c r="H111" s="66">
        <v>1000</v>
      </c>
      <c r="I111" s="67">
        <f>F111*H111</f>
        <v>4000</v>
      </c>
    </row>
    <row r="112" spans="1:9">
      <c r="A112" s="63">
        <v>22</v>
      </c>
      <c r="C112" s="65" t="s">
        <v>155</v>
      </c>
      <c r="D112" s="63" t="s">
        <v>154</v>
      </c>
      <c r="E112" s="63" t="s">
        <v>229</v>
      </c>
      <c r="F112" s="63">
        <v>15</v>
      </c>
      <c r="G112" s="66">
        <f t="shared" si="3"/>
        <v>800</v>
      </c>
      <c r="H112" s="66">
        <v>1000</v>
      </c>
      <c r="I112" s="67">
        <f t="shared" si="4"/>
        <v>15000</v>
      </c>
    </row>
    <row r="113" spans="1:9">
      <c r="A113" s="63">
        <v>23</v>
      </c>
      <c r="C113" s="65" t="s">
        <v>87</v>
      </c>
      <c r="D113" s="63" t="s">
        <v>63</v>
      </c>
      <c r="E113" s="63" t="s">
        <v>230</v>
      </c>
      <c r="F113" s="63">
        <v>9</v>
      </c>
      <c r="G113" s="66">
        <f t="shared" si="3"/>
        <v>400</v>
      </c>
      <c r="H113" s="66">
        <v>500</v>
      </c>
      <c r="I113" s="67">
        <f t="shared" si="4"/>
        <v>4500</v>
      </c>
    </row>
    <row r="114" spans="1:9">
      <c r="A114" s="63">
        <v>24</v>
      </c>
      <c r="C114" s="65" t="s">
        <v>498</v>
      </c>
      <c r="D114" s="63" t="s">
        <v>63</v>
      </c>
      <c r="E114" s="63" t="s">
        <v>231</v>
      </c>
      <c r="F114" s="63">
        <v>9</v>
      </c>
      <c r="G114" s="66">
        <f t="shared" si="3"/>
        <v>400</v>
      </c>
      <c r="H114" s="66">
        <v>500</v>
      </c>
      <c r="I114" s="67">
        <f t="shared" si="4"/>
        <v>4500</v>
      </c>
    </row>
    <row r="115" spans="1:9">
      <c r="A115" s="63">
        <v>25</v>
      </c>
      <c r="C115" s="65" t="s">
        <v>350</v>
      </c>
      <c r="D115" s="63"/>
      <c r="E115" s="63" t="s">
        <v>351</v>
      </c>
      <c r="F115" s="63">
        <v>10</v>
      </c>
      <c r="G115" s="66">
        <f t="shared" si="3"/>
        <v>2000</v>
      </c>
      <c r="H115" s="66">
        <v>2500</v>
      </c>
      <c r="I115" s="67">
        <f t="shared" si="4"/>
        <v>25000</v>
      </c>
    </row>
    <row r="116" spans="1:9">
      <c r="A116" s="63">
        <v>26</v>
      </c>
      <c r="C116" s="65" t="s">
        <v>79</v>
      </c>
      <c r="D116" s="63" t="s">
        <v>63</v>
      </c>
      <c r="E116" s="63" t="s">
        <v>232</v>
      </c>
      <c r="F116" s="63">
        <v>6</v>
      </c>
      <c r="G116" s="66">
        <f t="shared" si="3"/>
        <v>400</v>
      </c>
      <c r="H116" s="66">
        <v>500</v>
      </c>
      <c r="I116" s="67">
        <f t="shared" si="4"/>
        <v>3000</v>
      </c>
    </row>
    <row r="117" spans="1:9" s="52" customFormat="1">
      <c r="A117" s="63">
        <v>27</v>
      </c>
      <c r="B117" s="46"/>
      <c r="C117" s="65" t="s">
        <v>80</v>
      </c>
      <c r="D117" s="63" t="s">
        <v>63</v>
      </c>
      <c r="E117" s="63" t="s">
        <v>233</v>
      </c>
      <c r="F117" s="63">
        <v>9</v>
      </c>
      <c r="G117" s="66">
        <f t="shared" si="3"/>
        <v>800</v>
      </c>
      <c r="H117" s="66">
        <v>1000</v>
      </c>
      <c r="I117" s="67">
        <f t="shared" si="4"/>
        <v>9000</v>
      </c>
    </row>
    <row r="118" spans="1:9">
      <c r="A118" s="63">
        <v>28</v>
      </c>
      <c r="C118" s="65" t="s">
        <v>81</v>
      </c>
      <c r="D118" s="63" t="s">
        <v>153</v>
      </c>
      <c r="E118" s="63" t="s">
        <v>234</v>
      </c>
      <c r="F118" s="63">
        <v>13</v>
      </c>
      <c r="G118" s="66">
        <f t="shared" si="3"/>
        <v>800</v>
      </c>
      <c r="H118" s="66">
        <v>1000</v>
      </c>
      <c r="I118" s="67">
        <f t="shared" si="4"/>
        <v>13000</v>
      </c>
    </row>
    <row r="119" spans="1:9">
      <c r="A119" s="63">
        <v>29</v>
      </c>
      <c r="C119" s="65" t="s">
        <v>82</v>
      </c>
      <c r="D119" s="63" t="s">
        <v>156</v>
      </c>
      <c r="E119" s="63" t="s">
        <v>235</v>
      </c>
      <c r="F119" s="63">
        <v>4</v>
      </c>
      <c r="G119" s="66">
        <f t="shared" si="3"/>
        <v>3600</v>
      </c>
      <c r="H119" s="66">
        <v>4500</v>
      </c>
      <c r="I119" s="67">
        <f t="shared" si="4"/>
        <v>18000</v>
      </c>
    </row>
    <row r="120" spans="1:9">
      <c r="A120" s="63">
        <v>30</v>
      </c>
      <c r="C120" s="65" t="s">
        <v>83</v>
      </c>
      <c r="D120" s="63" t="s">
        <v>63</v>
      </c>
      <c r="E120" s="63" t="s">
        <v>236</v>
      </c>
      <c r="F120" s="63">
        <v>5</v>
      </c>
      <c r="G120" s="66">
        <f t="shared" si="3"/>
        <v>400</v>
      </c>
      <c r="H120" s="66">
        <v>500</v>
      </c>
      <c r="I120" s="67">
        <f t="shared" si="4"/>
        <v>2500</v>
      </c>
    </row>
    <row r="121" spans="1:9">
      <c r="A121" s="63">
        <v>31</v>
      </c>
      <c r="C121" s="65" t="s">
        <v>84</v>
      </c>
      <c r="D121" s="63" t="s">
        <v>63</v>
      </c>
      <c r="E121" s="63" t="s">
        <v>237</v>
      </c>
      <c r="F121" s="63">
        <v>9</v>
      </c>
      <c r="G121" s="66">
        <f t="shared" si="3"/>
        <v>400</v>
      </c>
      <c r="H121" s="66">
        <v>500</v>
      </c>
      <c r="I121" s="67">
        <f t="shared" si="4"/>
        <v>4500</v>
      </c>
    </row>
    <row r="122" spans="1:9">
      <c r="A122" s="63">
        <v>32</v>
      </c>
      <c r="C122" s="65" t="s">
        <v>85</v>
      </c>
      <c r="D122" s="63" t="s">
        <v>63</v>
      </c>
      <c r="E122" s="63" t="s">
        <v>238</v>
      </c>
      <c r="F122" s="63">
        <v>9</v>
      </c>
      <c r="G122" s="66">
        <f t="shared" si="3"/>
        <v>400</v>
      </c>
      <c r="H122" s="66">
        <v>500</v>
      </c>
      <c r="I122" s="67">
        <f t="shared" si="4"/>
        <v>4500</v>
      </c>
    </row>
    <row r="123" spans="1:9">
      <c r="A123" s="63">
        <v>33</v>
      </c>
      <c r="C123" s="65" t="s">
        <v>333</v>
      </c>
      <c r="D123" s="63" t="s">
        <v>63</v>
      </c>
      <c r="E123" s="63" t="s">
        <v>334</v>
      </c>
      <c r="F123" s="63">
        <v>6</v>
      </c>
      <c r="G123" s="66">
        <f t="shared" si="3"/>
        <v>3200</v>
      </c>
      <c r="H123" s="66">
        <v>4000</v>
      </c>
      <c r="I123" s="67">
        <f t="shared" si="4"/>
        <v>24000</v>
      </c>
    </row>
    <row r="124" spans="1:9">
      <c r="A124" s="63">
        <v>34</v>
      </c>
      <c r="C124" s="65" t="s">
        <v>328</v>
      </c>
      <c r="D124" s="63" t="s">
        <v>157</v>
      </c>
      <c r="E124" s="63" t="s">
        <v>329</v>
      </c>
      <c r="F124" s="63">
        <v>6</v>
      </c>
      <c r="G124" s="66">
        <f t="shared" si="3"/>
        <v>1600</v>
      </c>
      <c r="H124" s="66">
        <v>2000</v>
      </c>
      <c r="I124" s="67">
        <f t="shared" si="4"/>
        <v>12000</v>
      </c>
    </row>
    <row r="125" spans="1:9">
      <c r="A125" s="63">
        <v>35</v>
      </c>
      <c r="C125" s="65" t="s">
        <v>499</v>
      </c>
      <c r="D125" s="63" t="s">
        <v>144</v>
      </c>
      <c r="E125" s="63" t="s">
        <v>500</v>
      </c>
      <c r="F125" s="63">
        <v>5</v>
      </c>
      <c r="G125" s="66">
        <f t="shared" si="3"/>
        <v>3600</v>
      </c>
      <c r="H125" s="66">
        <v>4500</v>
      </c>
      <c r="I125" s="67">
        <f t="shared" si="4"/>
        <v>22500</v>
      </c>
    </row>
    <row r="126" spans="1:9">
      <c r="A126" s="63">
        <v>36</v>
      </c>
      <c r="C126" s="65" t="s">
        <v>326</v>
      </c>
      <c r="D126" s="63" t="s">
        <v>157</v>
      </c>
      <c r="E126" s="63" t="s">
        <v>327</v>
      </c>
      <c r="F126" s="63">
        <v>6</v>
      </c>
      <c r="G126" s="66">
        <f t="shared" si="3"/>
        <v>1200</v>
      </c>
      <c r="H126" s="66">
        <v>1500</v>
      </c>
      <c r="I126" s="67">
        <f t="shared" si="4"/>
        <v>9000</v>
      </c>
    </row>
    <row r="127" spans="1:9">
      <c r="A127" s="63">
        <v>37</v>
      </c>
      <c r="C127" s="65" t="s">
        <v>342</v>
      </c>
      <c r="D127" s="63"/>
      <c r="E127" s="63" t="s">
        <v>341</v>
      </c>
      <c r="F127" s="63">
        <v>5</v>
      </c>
      <c r="G127" s="66">
        <f t="shared" si="3"/>
        <v>2800</v>
      </c>
      <c r="H127" s="66">
        <v>3500</v>
      </c>
      <c r="I127" s="67">
        <f t="shared" si="4"/>
        <v>17500</v>
      </c>
    </row>
    <row r="128" spans="1:9">
      <c r="A128" s="63">
        <v>38</v>
      </c>
      <c r="C128" s="65" t="s">
        <v>343</v>
      </c>
      <c r="D128" s="63"/>
      <c r="E128" s="63" t="s">
        <v>344</v>
      </c>
      <c r="F128" s="63">
        <v>5</v>
      </c>
      <c r="G128" s="66">
        <f t="shared" si="3"/>
        <v>2800</v>
      </c>
      <c r="H128" s="66">
        <v>3500</v>
      </c>
      <c r="I128" s="67">
        <f t="shared" si="4"/>
        <v>17500</v>
      </c>
    </row>
    <row r="129" spans="1:9">
      <c r="A129" s="63">
        <v>39</v>
      </c>
      <c r="C129" s="65" t="s">
        <v>352</v>
      </c>
      <c r="D129" s="63" t="s">
        <v>335</v>
      </c>
      <c r="E129" s="63" t="s">
        <v>336</v>
      </c>
      <c r="F129" s="63">
        <v>2</v>
      </c>
      <c r="G129" s="66">
        <f>H129*20/100*4</f>
        <v>2800</v>
      </c>
      <c r="H129" s="66">
        <v>3500</v>
      </c>
      <c r="I129" s="67">
        <f t="shared" si="4"/>
        <v>7000</v>
      </c>
    </row>
    <row r="130" spans="1:9">
      <c r="A130" s="63">
        <v>40</v>
      </c>
      <c r="C130" s="65" t="s">
        <v>338</v>
      </c>
      <c r="D130" s="63" t="s">
        <v>339</v>
      </c>
      <c r="E130" s="63" t="s">
        <v>340</v>
      </c>
      <c r="F130" s="63">
        <v>3</v>
      </c>
      <c r="G130" s="66">
        <f t="shared" si="3"/>
        <v>3160</v>
      </c>
      <c r="H130" s="66">
        <v>3950</v>
      </c>
      <c r="I130" s="67">
        <f t="shared" si="4"/>
        <v>11850</v>
      </c>
    </row>
    <row r="131" spans="1:9">
      <c r="A131" s="63">
        <v>41</v>
      </c>
      <c r="C131" s="65" t="s">
        <v>337</v>
      </c>
      <c r="D131" s="63" t="s">
        <v>339</v>
      </c>
      <c r="E131" s="63" t="s">
        <v>489</v>
      </c>
      <c r="F131" s="63">
        <v>11</v>
      </c>
      <c r="G131" s="66">
        <f t="shared" si="3"/>
        <v>3160</v>
      </c>
      <c r="H131" s="66">
        <v>3950</v>
      </c>
      <c r="I131" s="67">
        <f t="shared" si="4"/>
        <v>43450</v>
      </c>
    </row>
    <row r="132" spans="1:9">
      <c r="A132" s="63">
        <v>42</v>
      </c>
      <c r="C132" s="65" t="s">
        <v>486</v>
      </c>
      <c r="D132" s="63" t="s">
        <v>487</v>
      </c>
      <c r="E132" s="63" t="s">
        <v>488</v>
      </c>
      <c r="F132" s="63">
        <v>2</v>
      </c>
      <c r="G132" s="66">
        <f t="shared" si="3"/>
        <v>2400</v>
      </c>
      <c r="H132" s="66">
        <v>3000</v>
      </c>
      <c r="I132" s="67">
        <f t="shared" si="4"/>
        <v>6000</v>
      </c>
    </row>
    <row r="133" spans="1:9">
      <c r="A133" s="63">
        <v>43</v>
      </c>
      <c r="C133" s="65" t="s">
        <v>86</v>
      </c>
      <c r="D133" s="63" t="s">
        <v>157</v>
      </c>
      <c r="E133" s="63" t="s">
        <v>239</v>
      </c>
      <c r="F133" s="63">
        <v>4</v>
      </c>
      <c r="G133" s="66">
        <f t="shared" si="3"/>
        <v>1600</v>
      </c>
      <c r="H133" s="66">
        <v>2000</v>
      </c>
      <c r="I133" s="67">
        <f>F133*H133</f>
        <v>8000</v>
      </c>
    </row>
    <row r="134" spans="1:9">
      <c r="A134" s="63">
        <v>44</v>
      </c>
      <c r="C134" s="65" t="s">
        <v>356</v>
      </c>
      <c r="D134" s="63" t="s">
        <v>335</v>
      </c>
      <c r="E134" s="63" t="s">
        <v>357</v>
      </c>
      <c r="F134" s="63">
        <v>8</v>
      </c>
      <c r="G134" s="66">
        <f t="shared" si="3"/>
        <v>100000</v>
      </c>
      <c r="H134" s="66">
        <v>125000</v>
      </c>
      <c r="I134" s="67">
        <f>F134*H134</f>
        <v>1000000</v>
      </c>
    </row>
    <row r="135" spans="1:9">
      <c r="A135" s="63">
        <v>45</v>
      </c>
      <c r="C135" s="65" t="s">
        <v>353</v>
      </c>
      <c r="D135" s="63" t="s">
        <v>354</v>
      </c>
      <c r="E135" s="63" t="s">
        <v>355</v>
      </c>
      <c r="F135" s="63">
        <v>1</v>
      </c>
      <c r="G135" s="66">
        <f t="shared" si="3"/>
        <v>14000</v>
      </c>
      <c r="H135" s="66">
        <v>17500</v>
      </c>
      <c r="I135" s="67">
        <f>F135*H135</f>
        <v>17500</v>
      </c>
    </row>
    <row r="136" spans="1:9">
      <c r="A136" s="63">
        <v>46</v>
      </c>
      <c r="C136" s="65" t="s">
        <v>367</v>
      </c>
      <c r="D136" s="63" t="s">
        <v>365</v>
      </c>
      <c r="E136" s="63" t="s">
        <v>368</v>
      </c>
      <c r="F136" s="63">
        <v>1</v>
      </c>
      <c r="G136" s="66">
        <f t="shared" si="3"/>
        <v>163200</v>
      </c>
      <c r="H136" s="66">
        <v>204000</v>
      </c>
      <c r="I136" s="67">
        <f t="shared" ref="I136:I152" si="5">F136*H136</f>
        <v>204000</v>
      </c>
    </row>
    <row r="137" spans="1:9">
      <c r="A137" s="63">
        <v>47</v>
      </c>
      <c r="C137" s="65" t="s">
        <v>369</v>
      </c>
      <c r="D137" s="63" t="s">
        <v>365</v>
      </c>
      <c r="E137" s="63" t="s">
        <v>370</v>
      </c>
      <c r="F137" s="63">
        <v>4</v>
      </c>
      <c r="G137" s="66">
        <f t="shared" si="3"/>
        <v>163200</v>
      </c>
      <c r="H137" s="66">
        <v>204000</v>
      </c>
      <c r="I137" s="67">
        <f t="shared" si="5"/>
        <v>816000</v>
      </c>
    </row>
    <row r="138" spans="1:9">
      <c r="A138" s="63">
        <v>48</v>
      </c>
      <c r="C138" s="65" t="s">
        <v>363</v>
      </c>
      <c r="D138" s="63" t="s">
        <v>364</v>
      </c>
      <c r="E138" s="63" t="s">
        <v>366</v>
      </c>
      <c r="F138" s="63">
        <v>1</v>
      </c>
      <c r="G138" s="66">
        <f t="shared" si="3"/>
        <v>110240</v>
      </c>
      <c r="H138" s="66">
        <v>137800</v>
      </c>
      <c r="I138" s="67">
        <f>F138*H138</f>
        <v>137800</v>
      </c>
    </row>
    <row r="139" spans="1:9">
      <c r="A139" s="63">
        <v>49</v>
      </c>
      <c r="C139" s="65" t="s">
        <v>361</v>
      </c>
      <c r="D139" s="63" t="s">
        <v>365</v>
      </c>
      <c r="E139" s="63" t="s">
        <v>362</v>
      </c>
      <c r="F139" s="63">
        <v>2</v>
      </c>
      <c r="G139" s="66">
        <f t="shared" si="3"/>
        <v>196000</v>
      </c>
      <c r="H139" s="66">
        <v>245000</v>
      </c>
      <c r="I139" s="67">
        <f t="shared" si="5"/>
        <v>490000</v>
      </c>
    </row>
    <row r="140" spans="1:9">
      <c r="A140" s="63">
        <v>50</v>
      </c>
      <c r="C140" s="65" t="s">
        <v>358</v>
      </c>
      <c r="D140" s="63" t="s">
        <v>365</v>
      </c>
      <c r="E140" s="63" t="s">
        <v>359</v>
      </c>
      <c r="F140" s="63">
        <v>2</v>
      </c>
      <c r="G140" s="66">
        <f t="shared" si="3"/>
        <v>142880</v>
      </c>
      <c r="H140" s="66">
        <v>178600</v>
      </c>
      <c r="I140" s="67">
        <f t="shared" si="5"/>
        <v>357200</v>
      </c>
    </row>
    <row r="141" spans="1:9">
      <c r="A141" s="63">
        <v>51</v>
      </c>
      <c r="C141" s="65" t="s">
        <v>358</v>
      </c>
      <c r="D141" s="63" t="s">
        <v>364</v>
      </c>
      <c r="E141" s="63" t="s">
        <v>360</v>
      </c>
      <c r="F141" s="63">
        <v>4</v>
      </c>
      <c r="G141" s="66">
        <f t="shared" si="3"/>
        <v>134880</v>
      </c>
      <c r="H141" s="66">
        <v>168600</v>
      </c>
      <c r="I141" s="67">
        <f t="shared" si="5"/>
        <v>674400</v>
      </c>
    </row>
    <row r="142" spans="1:9">
      <c r="A142" s="63">
        <v>52</v>
      </c>
      <c r="C142" s="65" t="s">
        <v>504</v>
      </c>
      <c r="D142" s="63" t="s">
        <v>505</v>
      </c>
      <c r="E142" s="63" t="s">
        <v>506</v>
      </c>
      <c r="F142" s="63">
        <v>15</v>
      </c>
      <c r="G142" s="66">
        <f t="shared" si="3"/>
        <v>800</v>
      </c>
      <c r="H142" s="66">
        <v>1000</v>
      </c>
      <c r="I142" s="67">
        <f t="shared" si="5"/>
        <v>15000</v>
      </c>
    </row>
    <row r="143" spans="1:9">
      <c r="A143" s="63">
        <v>53</v>
      </c>
      <c r="C143" s="65" t="s">
        <v>507</v>
      </c>
      <c r="D143" s="63" t="s">
        <v>508</v>
      </c>
      <c r="E143" s="63" t="s">
        <v>509</v>
      </c>
      <c r="F143" s="63">
        <v>11</v>
      </c>
      <c r="G143" s="66">
        <f t="shared" si="3"/>
        <v>800</v>
      </c>
      <c r="H143" s="66">
        <v>1000</v>
      </c>
      <c r="I143" s="67">
        <f t="shared" si="5"/>
        <v>11000</v>
      </c>
    </row>
    <row r="144" spans="1:9">
      <c r="A144" s="63">
        <v>54</v>
      </c>
      <c r="C144" s="65" t="s">
        <v>510</v>
      </c>
      <c r="D144" s="63" t="s">
        <v>511</v>
      </c>
      <c r="E144" s="63" t="s">
        <v>512</v>
      </c>
      <c r="F144" s="63">
        <v>27</v>
      </c>
      <c r="G144" s="66">
        <f t="shared" si="3"/>
        <v>800</v>
      </c>
      <c r="H144" s="66">
        <v>1000</v>
      </c>
      <c r="I144" s="67">
        <f t="shared" si="5"/>
        <v>27000</v>
      </c>
    </row>
    <row r="145" spans="1:10">
      <c r="A145" s="63">
        <v>55</v>
      </c>
      <c r="C145" s="65" t="s">
        <v>513</v>
      </c>
      <c r="D145" s="63" t="s">
        <v>511</v>
      </c>
      <c r="E145" s="63" t="s">
        <v>514</v>
      </c>
      <c r="F145" s="63">
        <v>9</v>
      </c>
      <c r="G145" s="66">
        <f t="shared" si="3"/>
        <v>800</v>
      </c>
      <c r="H145" s="66">
        <v>1000</v>
      </c>
      <c r="I145" s="67">
        <f t="shared" si="5"/>
        <v>9000</v>
      </c>
    </row>
    <row r="146" spans="1:10">
      <c r="A146" s="63">
        <v>56</v>
      </c>
      <c r="C146" s="65" t="s">
        <v>515</v>
      </c>
      <c r="D146" s="63" t="s">
        <v>511</v>
      </c>
      <c r="E146" s="63" t="s">
        <v>516</v>
      </c>
      <c r="F146" s="63">
        <v>14</v>
      </c>
      <c r="G146" s="66">
        <f t="shared" si="3"/>
        <v>800</v>
      </c>
      <c r="H146" s="66">
        <v>1000</v>
      </c>
      <c r="I146" s="67">
        <f t="shared" si="5"/>
        <v>14000</v>
      </c>
    </row>
    <row r="147" spans="1:10">
      <c r="A147" s="63">
        <v>57</v>
      </c>
      <c r="C147" s="65" t="s">
        <v>517</v>
      </c>
      <c r="D147" s="63" t="s">
        <v>518</v>
      </c>
      <c r="E147" s="63" t="s">
        <v>519</v>
      </c>
      <c r="F147" s="63">
        <v>10</v>
      </c>
      <c r="G147" s="66">
        <f t="shared" si="3"/>
        <v>800</v>
      </c>
      <c r="H147" s="66">
        <v>1000</v>
      </c>
      <c r="I147" s="67">
        <f t="shared" si="5"/>
        <v>10000</v>
      </c>
    </row>
    <row r="148" spans="1:10">
      <c r="A148" s="63">
        <v>58</v>
      </c>
      <c r="C148" s="65" t="s">
        <v>520</v>
      </c>
      <c r="D148" s="63" t="s">
        <v>508</v>
      </c>
      <c r="E148" s="63" t="s">
        <v>521</v>
      </c>
      <c r="F148" s="63">
        <v>7</v>
      </c>
      <c r="G148" s="66">
        <f t="shared" si="3"/>
        <v>800</v>
      </c>
      <c r="H148" s="66">
        <v>1000</v>
      </c>
      <c r="I148" s="67">
        <f t="shared" si="5"/>
        <v>7000</v>
      </c>
    </row>
    <row r="149" spans="1:10">
      <c r="A149" s="63">
        <v>59</v>
      </c>
      <c r="C149" s="65" t="s">
        <v>522</v>
      </c>
      <c r="D149" s="63" t="s">
        <v>508</v>
      </c>
      <c r="E149" s="63" t="s">
        <v>523</v>
      </c>
      <c r="F149" s="63">
        <v>10</v>
      </c>
      <c r="G149" s="66">
        <f t="shared" si="3"/>
        <v>960</v>
      </c>
      <c r="H149" s="66">
        <v>1200</v>
      </c>
      <c r="I149" s="67">
        <f t="shared" si="5"/>
        <v>12000</v>
      </c>
    </row>
    <row r="150" spans="1:10">
      <c r="A150" s="63">
        <v>60</v>
      </c>
      <c r="C150" s="65" t="s">
        <v>524</v>
      </c>
      <c r="D150" s="63" t="s">
        <v>525</v>
      </c>
      <c r="E150" s="63" t="s">
        <v>526</v>
      </c>
      <c r="F150" s="63">
        <v>18</v>
      </c>
      <c r="G150" s="66">
        <f t="shared" si="3"/>
        <v>800</v>
      </c>
      <c r="H150" s="66">
        <v>1000</v>
      </c>
      <c r="I150" s="67">
        <f t="shared" si="5"/>
        <v>18000</v>
      </c>
    </row>
    <row r="151" spans="1:10">
      <c r="A151" s="63">
        <v>61</v>
      </c>
      <c r="C151" s="65" t="s">
        <v>527</v>
      </c>
      <c r="D151" s="63" t="s">
        <v>525</v>
      </c>
      <c r="E151" s="63" t="s">
        <v>528</v>
      </c>
      <c r="F151" s="63">
        <v>17</v>
      </c>
      <c r="G151" s="66">
        <f t="shared" si="3"/>
        <v>800</v>
      </c>
      <c r="H151" s="66">
        <v>1000</v>
      </c>
      <c r="I151" s="67">
        <f t="shared" si="5"/>
        <v>17000</v>
      </c>
    </row>
    <row r="152" spans="1:10">
      <c r="A152" s="63">
        <v>62</v>
      </c>
      <c r="C152" s="65" t="s">
        <v>529</v>
      </c>
      <c r="D152" s="63" t="s">
        <v>530</v>
      </c>
      <c r="E152" s="63" t="s">
        <v>531</v>
      </c>
      <c r="F152" s="63">
        <v>12</v>
      </c>
      <c r="G152" s="66">
        <f t="shared" si="3"/>
        <v>1600</v>
      </c>
      <c r="H152" s="66">
        <v>2000</v>
      </c>
      <c r="I152" s="67">
        <f t="shared" si="5"/>
        <v>24000</v>
      </c>
    </row>
    <row r="153" spans="1:10" s="96" customFormat="1" ht="16.5" customHeight="1">
      <c r="A153" s="63"/>
      <c r="B153" s="90"/>
      <c r="C153" s="91" t="s">
        <v>5</v>
      </c>
      <c r="D153" s="92"/>
      <c r="E153" s="92"/>
      <c r="F153" s="92">
        <f>SUM(F91:F152)</f>
        <v>477</v>
      </c>
      <c r="G153" s="93">
        <f>SUM(G91:G152)</f>
        <v>1110880</v>
      </c>
      <c r="H153" s="93">
        <f>SUM(H91:H152)</f>
        <v>1388600</v>
      </c>
      <c r="I153" s="94">
        <f>SUM(I91:I152)</f>
        <v>4493700</v>
      </c>
      <c r="J153" s="95"/>
    </row>
    <row r="154" spans="1:10" s="97" customFormat="1">
      <c r="A154" s="63"/>
      <c r="C154" s="98"/>
      <c r="D154" s="99"/>
      <c r="E154" s="99"/>
      <c r="F154" s="99"/>
      <c r="G154" s="100"/>
      <c r="H154" s="100"/>
      <c r="I154" s="101"/>
    </row>
    <row r="155" spans="1:10">
      <c r="A155" s="63">
        <v>1</v>
      </c>
      <c r="B155" s="64" t="s">
        <v>110</v>
      </c>
      <c r="C155" s="65"/>
      <c r="D155" s="63"/>
      <c r="E155" s="63"/>
      <c r="F155" s="63"/>
      <c r="G155" s="66"/>
      <c r="H155" s="66"/>
      <c r="I155" s="67"/>
    </row>
    <row r="156" spans="1:10">
      <c r="A156" s="63">
        <v>2</v>
      </c>
      <c r="B156" s="102" t="s">
        <v>111</v>
      </c>
      <c r="C156" s="65" t="s">
        <v>114</v>
      </c>
      <c r="D156" s="63" t="s">
        <v>429</v>
      </c>
      <c r="E156" s="63" t="s">
        <v>240</v>
      </c>
      <c r="F156" s="63">
        <v>2</v>
      </c>
      <c r="G156" s="66">
        <f t="shared" ref="G156:G181" si="6">H156*20/100*4</f>
        <v>21200</v>
      </c>
      <c r="H156" s="66">
        <v>26500</v>
      </c>
      <c r="I156" s="67">
        <f t="shared" si="4"/>
        <v>53000</v>
      </c>
    </row>
    <row r="157" spans="1:10">
      <c r="A157" s="63">
        <v>3</v>
      </c>
      <c r="C157" s="65" t="s">
        <v>428</v>
      </c>
      <c r="D157" s="63" t="s">
        <v>429</v>
      </c>
      <c r="E157" s="63" t="s">
        <v>241</v>
      </c>
      <c r="F157" s="63">
        <v>1</v>
      </c>
      <c r="G157" s="66">
        <f t="shared" si="6"/>
        <v>20000</v>
      </c>
      <c r="H157" s="66">
        <v>25000</v>
      </c>
      <c r="I157" s="67">
        <f t="shared" si="4"/>
        <v>25000</v>
      </c>
    </row>
    <row r="158" spans="1:10">
      <c r="A158" s="63">
        <v>4</v>
      </c>
      <c r="C158" s="65" t="s">
        <v>115</v>
      </c>
      <c r="D158" s="63" t="s">
        <v>418</v>
      </c>
      <c r="E158" s="63" t="s">
        <v>242</v>
      </c>
      <c r="F158" s="63">
        <v>1</v>
      </c>
      <c r="G158" s="66">
        <f t="shared" si="6"/>
        <v>6000</v>
      </c>
      <c r="H158" s="66">
        <v>7500</v>
      </c>
      <c r="I158" s="67">
        <f t="shared" si="4"/>
        <v>7500</v>
      </c>
    </row>
    <row r="159" spans="1:10">
      <c r="A159" s="63">
        <v>5</v>
      </c>
      <c r="C159" s="65" t="s">
        <v>430</v>
      </c>
      <c r="D159" s="63" t="s">
        <v>418</v>
      </c>
      <c r="E159" s="63" t="s">
        <v>431</v>
      </c>
      <c r="F159" s="63">
        <v>1</v>
      </c>
      <c r="G159" s="66">
        <f t="shared" si="6"/>
        <v>4800</v>
      </c>
      <c r="H159" s="66">
        <v>6000</v>
      </c>
      <c r="I159" s="67">
        <f t="shared" si="4"/>
        <v>6000</v>
      </c>
    </row>
    <row r="160" spans="1:10">
      <c r="A160" s="63">
        <v>6</v>
      </c>
      <c r="C160" s="65" t="s">
        <v>432</v>
      </c>
      <c r="D160" s="63" t="s">
        <v>113</v>
      </c>
      <c r="E160" s="63" t="s">
        <v>433</v>
      </c>
      <c r="F160" s="63">
        <v>2</v>
      </c>
      <c r="G160" s="66">
        <f t="shared" si="6"/>
        <v>15600</v>
      </c>
      <c r="H160" s="66">
        <v>19500</v>
      </c>
      <c r="I160" s="67">
        <f t="shared" si="4"/>
        <v>39000</v>
      </c>
    </row>
    <row r="161" spans="1:9">
      <c r="A161" s="63">
        <v>7</v>
      </c>
      <c r="C161" s="65" t="s">
        <v>434</v>
      </c>
      <c r="D161" s="63" t="s">
        <v>117</v>
      </c>
      <c r="E161" s="63" t="s">
        <v>435</v>
      </c>
      <c r="F161" s="63">
        <v>2</v>
      </c>
      <c r="G161" s="66">
        <f t="shared" si="6"/>
        <v>16400</v>
      </c>
      <c r="H161" s="66">
        <v>20500</v>
      </c>
      <c r="I161" s="67">
        <f t="shared" si="4"/>
        <v>41000</v>
      </c>
    </row>
    <row r="162" spans="1:9">
      <c r="A162" s="63">
        <v>8</v>
      </c>
      <c r="C162" s="65" t="s">
        <v>436</v>
      </c>
      <c r="D162" s="63" t="s">
        <v>117</v>
      </c>
      <c r="E162" s="63" t="s">
        <v>437</v>
      </c>
      <c r="F162" s="63">
        <v>1</v>
      </c>
      <c r="G162" s="66">
        <f t="shared" si="6"/>
        <v>16000</v>
      </c>
      <c r="H162" s="66">
        <v>20000</v>
      </c>
      <c r="I162" s="67">
        <f t="shared" si="4"/>
        <v>20000</v>
      </c>
    </row>
    <row r="163" spans="1:9">
      <c r="A163" s="63">
        <v>9</v>
      </c>
      <c r="C163" s="65" t="s">
        <v>116</v>
      </c>
      <c r="D163" s="63" t="s">
        <v>113</v>
      </c>
      <c r="E163" s="63" t="s">
        <v>243</v>
      </c>
      <c r="F163" s="63">
        <v>1</v>
      </c>
      <c r="G163" s="66">
        <f t="shared" si="6"/>
        <v>14400</v>
      </c>
      <c r="H163" s="66">
        <v>18000</v>
      </c>
      <c r="I163" s="67">
        <f t="shared" si="4"/>
        <v>18000</v>
      </c>
    </row>
    <row r="164" spans="1:9">
      <c r="A164" s="63">
        <v>10</v>
      </c>
      <c r="C164" s="65" t="s">
        <v>417</v>
      </c>
      <c r="D164" s="63" t="s">
        <v>112</v>
      </c>
      <c r="E164" s="63" t="s">
        <v>244</v>
      </c>
      <c r="F164" s="63">
        <v>1</v>
      </c>
      <c r="G164" s="66">
        <f t="shared" si="6"/>
        <v>4400</v>
      </c>
      <c r="H164" s="66">
        <v>5500</v>
      </c>
      <c r="I164" s="67">
        <f t="shared" si="4"/>
        <v>5500</v>
      </c>
    </row>
    <row r="165" spans="1:9">
      <c r="A165" s="63">
        <v>11</v>
      </c>
      <c r="C165" s="65" t="s">
        <v>118</v>
      </c>
      <c r="D165" s="63" t="s">
        <v>113</v>
      </c>
      <c r="E165" s="63" t="s">
        <v>420</v>
      </c>
      <c r="F165" s="63">
        <v>1</v>
      </c>
      <c r="G165" s="66">
        <f t="shared" si="6"/>
        <v>14400</v>
      </c>
      <c r="H165" s="66">
        <v>18000</v>
      </c>
      <c r="I165" s="67">
        <f t="shared" si="4"/>
        <v>18000</v>
      </c>
    </row>
    <row r="166" spans="1:9">
      <c r="A166" s="63">
        <v>12</v>
      </c>
      <c r="C166" s="65" t="s">
        <v>118</v>
      </c>
      <c r="D166" s="63" t="s">
        <v>418</v>
      </c>
      <c r="E166" s="63" t="s">
        <v>419</v>
      </c>
      <c r="F166" s="63">
        <v>1</v>
      </c>
      <c r="G166" s="66">
        <f t="shared" si="6"/>
        <v>4000</v>
      </c>
      <c r="H166" s="66">
        <v>5000</v>
      </c>
      <c r="I166" s="67">
        <f t="shared" si="4"/>
        <v>5000</v>
      </c>
    </row>
    <row r="167" spans="1:9">
      <c r="A167" s="63">
        <v>13</v>
      </c>
      <c r="C167" s="65" t="s">
        <v>421</v>
      </c>
      <c r="D167" s="63" t="s">
        <v>112</v>
      </c>
      <c r="E167" s="63" t="s">
        <v>422</v>
      </c>
      <c r="F167" s="63">
        <v>14</v>
      </c>
      <c r="G167" s="66">
        <f t="shared" si="6"/>
        <v>4000</v>
      </c>
      <c r="H167" s="66">
        <v>5000</v>
      </c>
      <c r="I167" s="67">
        <f t="shared" si="4"/>
        <v>70000</v>
      </c>
    </row>
    <row r="168" spans="1:9">
      <c r="A168" s="63">
        <v>14</v>
      </c>
      <c r="C168" s="65" t="s">
        <v>423</v>
      </c>
      <c r="D168" s="63" t="s">
        <v>117</v>
      </c>
      <c r="E168" s="63" t="s">
        <v>424</v>
      </c>
      <c r="F168" s="63">
        <v>4</v>
      </c>
      <c r="G168" s="66">
        <f t="shared" si="6"/>
        <v>14000</v>
      </c>
      <c r="H168" s="66">
        <v>17500</v>
      </c>
      <c r="I168" s="67">
        <f t="shared" si="4"/>
        <v>70000</v>
      </c>
    </row>
    <row r="169" spans="1:9">
      <c r="A169" s="63">
        <v>15</v>
      </c>
      <c r="C169" s="65" t="s">
        <v>421</v>
      </c>
      <c r="D169" s="63" t="s">
        <v>113</v>
      </c>
      <c r="E169" s="63" t="s">
        <v>425</v>
      </c>
      <c r="F169" s="63">
        <v>3</v>
      </c>
      <c r="G169" s="66">
        <f t="shared" si="6"/>
        <v>13600</v>
      </c>
      <c r="H169" s="66">
        <v>17000</v>
      </c>
      <c r="I169" s="67">
        <f t="shared" si="4"/>
        <v>51000</v>
      </c>
    </row>
    <row r="170" spans="1:9">
      <c r="A170" s="63">
        <v>16</v>
      </c>
      <c r="C170" s="65" t="s">
        <v>426</v>
      </c>
      <c r="D170" s="63" t="s">
        <v>418</v>
      </c>
      <c r="E170" s="63" t="s">
        <v>427</v>
      </c>
      <c r="F170" s="63">
        <v>1</v>
      </c>
      <c r="G170" s="66">
        <f t="shared" si="6"/>
        <v>4400</v>
      </c>
      <c r="H170" s="66">
        <v>5500</v>
      </c>
      <c r="I170" s="67">
        <f t="shared" si="4"/>
        <v>5500</v>
      </c>
    </row>
    <row r="171" spans="1:9">
      <c r="A171" s="63"/>
      <c r="C171" s="65" t="s">
        <v>571</v>
      </c>
      <c r="D171" s="63" t="s">
        <v>572</v>
      </c>
      <c r="E171" s="63" t="s">
        <v>573</v>
      </c>
      <c r="F171" s="63">
        <v>23</v>
      </c>
      <c r="G171" s="66">
        <f t="shared" si="6"/>
        <v>400</v>
      </c>
      <c r="H171" s="66">
        <v>500</v>
      </c>
      <c r="I171" s="67">
        <f t="shared" si="4"/>
        <v>11500</v>
      </c>
    </row>
    <row r="172" spans="1:9">
      <c r="A172" s="63"/>
      <c r="C172" s="65" t="s">
        <v>574</v>
      </c>
      <c r="D172" s="63" t="s">
        <v>575</v>
      </c>
      <c r="E172" s="63" t="s">
        <v>576</v>
      </c>
      <c r="F172" s="63">
        <v>6</v>
      </c>
      <c r="G172" s="66">
        <f t="shared" si="6"/>
        <v>400</v>
      </c>
      <c r="H172" s="66">
        <v>500</v>
      </c>
      <c r="I172" s="67">
        <f t="shared" si="4"/>
        <v>3000</v>
      </c>
    </row>
    <row r="173" spans="1:9">
      <c r="A173" s="63">
        <v>17</v>
      </c>
      <c r="C173" s="65" t="s">
        <v>119</v>
      </c>
      <c r="D173" s="63" t="s">
        <v>112</v>
      </c>
      <c r="E173" s="63" t="s">
        <v>245</v>
      </c>
      <c r="F173" s="63">
        <v>3</v>
      </c>
      <c r="G173" s="66">
        <f t="shared" si="6"/>
        <v>6400</v>
      </c>
      <c r="H173" s="66">
        <v>8000</v>
      </c>
      <c r="I173" s="67">
        <f t="shared" si="4"/>
        <v>24000</v>
      </c>
    </row>
    <row r="174" spans="1:9">
      <c r="A174" s="63"/>
      <c r="C174" s="65" t="s">
        <v>577</v>
      </c>
      <c r="D174" s="63" t="s">
        <v>575</v>
      </c>
      <c r="E174" s="63" t="s">
        <v>578</v>
      </c>
      <c r="F174" s="63">
        <v>10</v>
      </c>
      <c r="G174" s="66">
        <f t="shared" si="6"/>
        <v>400</v>
      </c>
      <c r="H174" s="66">
        <v>500</v>
      </c>
      <c r="I174" s="67">
        <f t="shared" si="4"/>
        <v>5000</v>
      </c>
    </row>
    <row r="175" spans="1:9">
      <c r="A175" s="63"/>
      <c r="C175" s="65" t="s">
        <v>579</v>
      </c>
      <c r="D175" s="63" t="s">
        <v>575</v>
      </c>
      <c r="E175" s="63" t="s">
        <v>580</v>
      </c>
      <c r="F175" s="63">
        <v>12</v>
      </c>
      <c r="G175" s="66">
        <f t="shared" si="6"/>
        <v>400</v>
      </c>
      <c r="H175" s="66">
        <v>500</v>
      </c>
      <c r="I175" s="67">
        <f t="shared" si="4"/>
        <v>6000</v>
      </c>
    </row>
    <row r="176" spans="1:9">
      <c r="A176" s="63">
        <v>18</v>
      </c>
      <c r="C176" s="65" t="s">
        <v>438</v>
      </c>
      <c r="D176" s="63" t="s">
        <v>112</v>
      </c>
      <c r="E176" s="63" t="s">
        <v>246</v>
      </c>
      <c r="F176" s="63">
        <v>2</v>
      </c>
      <c r="G176" s="66">
        <f t="shared" si="6"/>
        <v>4800</v>
      </c>
      <c r="H176" s="66">
        <v>6000</v>
      </c>
      <c r="I176" s="67">
        <f t="shared" si="4"/>
        <v>12000</v>
      </c>
    </row>
    <row r="177" spans="1:10">
      <c r="A177" s="63"/>
      <c r="C177" s="65" t="s">
        <v>438</v>
      </c>
      <c r="D177" s="63" t="s">
        <v>575</v>
      </c>
      <c r="E177" s="63" t="s">
        <v>581</v>
      </c>
      <c r="F177" s="63">
        <v>12</v>
      </c>
      <c r="G177" s="66">
        <f t="shared" si="6"/>
        <v>400</v>
      </c>
      <c r="H177" s="66">
        <v>500</v>
      </c>
      <c r="I177" s="67">
        <f t="shared" si="4"/>
        <v>6000</v>
      </c>
    </row>
    <row r="178" spans="1:10">
      <c r="A178" s="63">
        <v>19</v>
      </c>
      <c r="C178" s="65" t="s">
        <v>440</v>
      </c>
      <c r="D178" s="63" t="s">
        <v>112</v>
      </c>
      <c r="E178" s="63" t="s">
        <v>247</v>
      </c>
      <c r="F178" s="63">
        <v>1</v>
      </c>
      <c r="G178" s="66">
        <f t="shared" si="6"/>
        <v>12400</v>
      </c>
      <c r="H178" s="66">
        <v>15500</v>
      </c>
      <c r="I178" s="67">
        <f t="shared" si="4"/>
        <v>15500</v>
      </c>
    </row>
    <row r="179" spans="1:10">
      <c r="A179" s="63">
        <v>20</v>
      </c>
      <c r="C179" s="65" t="s">
        <v>439</v>
      </c>
      <c r="D179" s="63" t="s">
        <v>112</v>
      </c>
      <c r="E179" s="63" t="s">
        <v>248</v>
      </c>
      <c r="F179" s="63">
        <v>1</v>
      </c>
      <c r="G179" s="66">
        <f t="shared" si="6"/>
        <v>10800</v>
      </c>
      <c r="H179" s="66">
        <v>13500</v>
      </c>
      <c r="I179" s="67">
        <f t="shared" si="4"/>
        <v>13500</v>
      </c>
    </row>
    <row r="180" spans="1:10">
      <c r="A180" s="63"/>
      <c r="C180" s="65" t="s">
        <v>582</v>
      </c>
      <c r="D180" s="63" t="s">
        <v>575</v>
      </c>
      <c r="E180" s="63" t="s">
        <v>583</v>
      </c>
      <c r="F180" s="63">
        <v>12</v>
      </c>
      <c r="G180" s="66">
        <f t="shared" si="6"/>
        <v>400</v>
      </c>
      <c r="H180" s="66">
        <v>500</v>
      </c>
      <c r="I180" s="67">
        <f t="shared" si="4"/>
        <v>6000</v>
      </c>
    </row>
    <row r="181" spans="1:10">
      <c r="A181" s="63"/>
      <c r="C181" s="65" t="s">
        <v>584</v>
      </c>
      <c r="D181" s="63" t="s">
        <v>575</v>
      </c>
      <c r="E181" s="63" t="s">
        <v>585</v>
      </c>
      <c r="F181" s="63">
        <v>21</v>
      </c>
      <c r="G181" s="66">
        <f t="shared" si="6"/>
        <v>400</v>
      </c>
      <c r="H181" s="66">
        <v>500</v>
      </c>
      <c r="I181" s="67">
        <f t="shared" si="4"/>
        <v>10500</v>
      </c>
    </row>
    <row r="182" spans="1:10" s="96" customFormat="1">
      <c r="A182" s="99"/>
      <c r="B182" s="90"/>
      <c r="C182" s="91" t="s">
        <v>5</v>
      </c>
      <c r="D182" s="92"/>
      <c r="E182" s="92"/>
      <c r="F182" s="92">
        <f>SUM(F156:F181)</f>
        <v>139</v>
      </c>
      <c r="G182" s="93">
        <f>SUM(G156:G181)</f>
        <v>210400</v>
      </c>
      <c r="H182" s="93">
        <f>SUM(H156:H181)</f>
        <v>263000</v>
      </c>
      <c r="I182" s="94">
        <f>SUM(I156:I181)</f>
        <v>547500</v>
      </c>
      <c r="J182" s="95"/>
    </row>
    <row r="183" spans="1:10">
      <c r="A183" s="63"/>
      <c r="B183" s="103"/>
      <c r="C183" s="65"/>
      <c r="D183" s="63"/>
      <c r="E183" s="63"/>
      <c r="F183" s="63"/>
      <c r="G183" s="66"/>
      <c r="H183" s="66"/>
      <c r="I183" s="67"/>
    </row>
    <row r="184" spans="1:10">
      <c r="A184" s="63">
        <v>1</v>
      </c>
      <c r="B184" s="112" t="s">
        <v>279</v>
      </c>
      <c r="C184" s="75" t="s">
        <v>120</v>
      </c>
      <c r="D184" s="63" t="s">
        <v>121</v>
      </c>
      <c r="E184" s="63" t="s">
        <v>249</v>
      </c>
      <c r="F184" s="63">
        <v>1</v>
      </c>
      <c r="G184" s="66">
        <f t="shared" ref="G184:G218" si="7">H184*20/100*4</f>
        <v>1200</v>
      </c>
      <c r="H184" s="66">
        <v>1500</v>
      </c>
      <c r="I184" s="67">
        <f t="shared" si="4"/>
        <v>1500</v>
      </c>
    </row>
    <row r="185" spans="1:10">
      <c r="A185" s="63">
        <v>2</v>
      </c>
      <c r="B185" s="102" t="s">
        <v>280</v>
      </c>
      <c r="C185" s="65" t="s">
        <v>122</v>
      </c>
      <c r="D185" s="63" t="s">
        <v>121</v>
      </c>
      <c r="E185" s="63" t="s">
        <v>250</v>
      </c>
      <c r="F185" s="63">
        <v>3</v>
      </c>
      <c r="G185" s="66">
        <f t="shared" si="7"/>
        <v>1200</v>
      </c>
      <c r="H185" s="66">
        <v>1500</v>
      </c>
      <c r="I185" s="67">
        <f t="shared" si="4"/>
        <v>4500</v>
      </c>
    </row>
    <row r="186" spans="1:10">
      <c r="A186" s="63">
        <v>3</v>
      </c>
      <c r="C186" s="65" t="s">
        <v>123</v>
      </c>
      <c r="D186" s="63" t="s">
        <v>121</v>
      </c>
      <c r="E186" s="63" t="s">
        <v>251</v>
      </c>
      <c r="F186" s="63">
        <v>1</v>
      </c>
      <c r="G186" s="66">
        <f t="shared" si="7"/>
        <v>1200</v>
      </c>
      <c r="H186" s="66">
        <v>1500</v>
      </c>
      <c r="I186" s="67">
        <f t="shared" si="4"/>
        <v>1500</v>
      </c>
    </row>
    <row r="187" spans="1:10">
      <c r="A187" s="63">
        <v>5</v>
      </c>
      <c r="C187" s="65" t="s">
        <v>125</v>
      </c>
      <c r="D187" s="63" t="s">
        <v>121</v>
      </c>
      <c r="E187" s="63" t="s">
        <v>253</v>
      </c>
      <c r="F187" s="63">
        <v>2</v>
      </c>
      <c r="G187" s="66">
        <f t="shared" si="7"/>
        <v>1600</v>
      </c>
      <c r="H187" s="66">
        <v>2000</v>
      </c>
      <c r="I187" s="67">
        <f t="shared" si="4"/>
        <v>4000</v>
      </c>
    </row>
    <row r="188" spans="1:10" ht="15" customHeight="1">
      <c r="A188" s="63">
        <v>6</v>
      </c>
      <c r="C188" s="65" t="s">
        <v>126</v>
      </c>
      <c r="D188" s="63" t="s">
        <v>121</v>
      </c>
      <c r="E188" s="63" t="s">
        <v>254</v>
      </c>
      <c r="F188" s="63">
        <v>3</v>
      </c>
      <c r="G188" s="66">
        <f t="shared" si="7"/>
        <v>1600</v>
      </c>
      <c r="H188" s="66">
        <v>2000</v>
      </c>
      <c r="I188" s="67">
        <f t="shared" si="4"/>
        <v>6000</v>
      </c>
    </row>
    <row r="189" spans="1:10">
      <c r="A189" s="63">
        <v>7</v>
      </c>
      <c r="C189" s="65" t="s">
        <v>127</v>
      </c>
      <c r="D189" s="63" t="s">
        <v>121</v>
      </c>
      <c r="E189" s="63" t="s">
        <v>255</v>
      </c>
      <c r="F189" s="63">
        <v>3</v>
      </c>
      <c r="G189" s="66">
        <f t="shared" si="7"/>
        <v>1600</v>
      </c>
      <c r="H189" s="66">
        <v>2000</v>
      </c>
      <c r="I189" s="67">
        <f t="shared" si="4"/>
        <v>6000</v>
      </c>
    </row>
    <row r="190" spans="1:10">
      <c r="A190" s="63">
        <v>8</v>
      </c>
      <c r="C190" s="65" t="s">
        <v>389</v>
      </c>
      <c r="D190" s="63" t="s">
        <v>121</v>
      </c>
      <c r="E190" s="63" t="s">
        <v>390</v>
      </c>
      <c r="F190" s="63">
        <v>2</v>
      </c>
      <c r="G190" s="66">
        <f t="shared" si="7"/>
        <v>1600</v>
      </c>
      <c r="H190" s="66">
        <v>2000</v>
      </c>
      <c r="I190" s="67">
        <f t="shared" si="4"/>
        <v>4000</v>
      </c>
    </row>
    <row r="191" spans="1:10">
      <c r="A191" s="63">
        <v>9</v>
      </c>
      <c r="C191" s="65" t="s">
        <v>441</v>
      </c>
      <c r="D191" s="63" t="s">
        <v>442</v>
      </c>
      <c r="E191" s="63" t="s">
        <v>443</v>
      </c>
      <c r="F191" s="63">
        <v>2</v>
      </c>
      <c r="G191" s="66">
        <f t="shared" si="7"/>
        <v>10800</v>
      </c>
      <c r="H191" s="66">
        <v>13500</v>
      </c>
      <c r="I191" s="67">
        <f t="shared" si="4"/>
        <v>27000</v>
      </c>
    </row>
    <row r="192" spans="1:10">
      <c r="A192" s="63">
        <v>10</v>
      </c>
      <c r="C192" s="65" t="s">
        <v>125</v>
      </c>
      <c r="D192" s="63" t="s">
        <v>151</v>
      </c>
      <c r="E192" s="63" t="s">
        <v>444</v>
      </c>
      <c r="F192" s="63">
        <v>2</v>
      </c>
      <c r="G192" s="66">
        <f t="shared" si="7"/>
        <v>3600</v>
      </c>
      <c r="H192" s="66">
        <v>4500</v>
      </c>
      <c r="I192" s="67">
        <f t="shared" si="4"/>
        <v>9000</v>
      </c>
    </row>
    <row r="193" spans="1:9">
      <c r="A193" s="63">
        <v>11</v>
      </c>
      <c r="C193" s="65" t="s">
        <v>445</v>
      </c>
      <c r="D193" s="63" t="s">
        <v>151</v>
      </c>
      <c r="E193" s="63" t="s">
        <v>446</v>
      </c>
      <c r="F193" s="63">
        <v>3</v>
      </c>
      <c r="G193" s="66">
        <f t="shared" si="7"/>
        <v>3600</v>
      </c>
      <c r="H193" s="66">
        <v>4500</v>
      </c>
      <c r="I193" s="67">
        <f t="shared" si="4"/>
        <v>13500</v>
      </c>
    </row>
    <row r="194" spans="1:9">
      <c r="A194" s="63">
        <v>12</v>
      </c>
      <c r="C194" s="65" t="s">
        <v>128</v>
      </c>
      <c r="D194" s="63" t="s">
        <v>129</v>
      </c>
      <c r="E194" s="63" t="s">
        <v>387</v>
      </c>
      <c r="F194" s="63">
        <v>2</v>
      </c>
      <c r="G194" s="66">
        <f t="shared" si="7"/>
        <v>2000</v>
      </c>
      <c r="H194" s="66">
        <v>2500</v>
      </c>
      <c r="I194" s="67">
        <f t="shared" si="4"/>
        <v>5000</v>
      </c>
    </row>
    <row r="195" spans="1:9">
      <c r="A195" s="63">
        <v>13</v>
      </c>
      <c r="C195" s="65" t="s">
        <v>385</v>
      </c>
      <c r="D195" s="63" t="s">
        <v>386</v>
      </c>
      <c r="E195" s="63" t="s">
        <v>388</v>
      </c>
      <c r="F195" s="63">
        <v>3</v>
      </c>
      <c r="G195" s="66">
        <f t="shared" si="7"/>
        <v>10000</v>
      </c>
      <c r="H195" s="66">
        <v>12500</v>
      </c>
      <c r="I195" s="67">
        <f t="shared" si="4"/>
        <v>37500</v>
      </c>
    </row>
    <row r="196" spans="1:9">
      <c r="A196" s="63">
        <v>14</v>
      </c>
      <c r="C196" s="65" t="s">
        <v>586</v>
      </c>
      <c r="D196" s="63" t="s">
        <v>95</v>
      </c>
      <c r="E196" s="63" t="s">
        <v>392</v>
      </c>
      <c r="F196" s="63">
        <v>3</v>
      </c>
      <c r="G196" s="66">
        <f t="shared" si="7"/>
        <v>1200</v>
      </c>
      <c r="H196" s="66">
        <v>1500</v>
      </c>
      <c r="I196" s="67">
        <f t="shared" si="4"/>
        <v>4500</v>
      </c>
    </row>
    <row r="197" spans="1:9">
      <c r="A197" s="63">
        <v>15</v>
      </c>
      <c r="C197" s="65" t="s">
        <v>391</v>
      </c>
      <c r="D197" s="63" t="s">
        <v>95</v>
      </c>
      <c r="E197" s="63" t="s">
        <v>393</v>
      </c>
      <c r="F197" s="63">
        <v>3</v>
      </c>
      <c r="G197" s="66">
        <f t="shared" si="7"/>
        <v>1200</v>
      </c>
      <c r="H197" s="66">
        <v>1500</v>
      </c>
      <c r="I197" s="67">
        <f t="shared" si="4"/>
        <v>4500</v>
      </c>
    </row>
    <row r="198" spans="1:9">
      <c r="A198" s="63">
        <v>16</v>
      </c>
      <c r="C198" s="65" t="s">
        <v>394</v>
      </c>
      <c r="D198" s="63" t="s">
        <v>95</v>
      </c>
      <c r="E198" s="63" t="s">
        <v>395</v>
      </c>
      <c r="F198" s="63">
        <v>2</v>
      </c>
      <c r="G198" s="66">
        <f t="shared" si="7"/>
        <v>2000</v>
      </c>
      <c r="H198" s="66">
        <v>2500</v>
      </c>
      <c r="I198" s="67">
        <f t="shared" si="4"/>
        <v>5000</v>
      </c>
    </row>
    <row r="199" spans="1:9">
      <c r="A199" s="63">
        <v>17</v>
      </c>
      <c r="C199" s="65" t="s">
        <v>130</v>
      </c>
      <c r="D199" s="63" t="s">
        <v>93</v>
      </c>
      <c r="E199" s="63" t="s">
        <v>256</v>
      </c>
      <c r="F199" s="63">
        <v>3</v>
      </c>
      <c r="G199" s="66">
        <f t="shared" si="7"/>
        <v>960</v>
      </c>
      <c r="H199" s="66">
        <v>1200</v>
      </c>
      <c r="I199" s="67">
        <f t="shared" si="4"/>
        <v>3600</v>
      </c>
    </row>
    <row r="200" spans="1:9">
      <c r="A200" s="63">
        <v>18</v>
      </c>
      <c r="C200" s="65" t="s">
        <v>131</v>
      </c>
      <c r="D200" s="63" t="s">
        <v>95</v>
      </c>
      <c r="E200" s="63" t="s">
        <v>257</v>
      </c>
      <c r="F200" s="63">
        <v>3</v>
      </c>
      <c r="G200" s="66">
        <f t="shared" si="7"/>
        <v>1200</v>
      </c>
      <c r="H200" s="66">
        <v>1500</v>
      </c>
      <c r="I200" s="67">
        <f t="shared" si="4"/>
        <v>4500</v>
      </c>
    </row>
    <row r="201" spans="1:9">
      <c r="A201" s="63">
        <v>19</v>
      </c>
      <c r="C201" s="65" t="s">
        <v>132</v>
      </c>
      <c r="D201" s="63" t="s">
        <v>95</v>
      </c>
      <c r="E201" s="63" t="s">
        <v>258</v>
      </c>
      <c r="F201" s="63">
        <v>2</v>
      </c>
      <c r="G201" s="66">
        <f t="shared" si="7"/>
        <v>1200</v>
      </c>
      <c r="H201" s="66">
        <v>1500</v>
      </c>
      <c r="I201" s="67">
        <f t="shared" si="4"/>
        <v>3000</v>
      </c>
    </row>
    <row r="202" spans="1:9">
      <c r="A202" s="63">
        <v>20</v>
      </c>
      <c r="C202" s="65" t="s">
        <v>133</v>
      </c>
      <c r="D202" s="63" t="s">
        <v>95</v>
      </c>
      <c r="E202" s="63" t="s">
        <v>259</v>
      </c>
      <c r="F202" s="63">
        <v>3</v>
      </c>
      <c r="G202" s="66">
        <f t="shared" si="7"/>
        <v>1200</v>
      </c>
      <c r="H202" s="66">
        <v>1500</v>
      </c>
      <c r="I202" s="67">
        <f t="shared" si="4"/>
        <v>4500</v>
      </c>
    </row>
    <row r="203" spans="1:9">
      <c r="A203" s="63">
        <v>21</v>
      </c>
      <c r="C203" s="65" t="s">
        <v>134</v>
      </c>
      <c r="D203" s="63" t="s">
        <v>95</v>
      </c>
      <c r="E203" s="63" t="s">
        <v>260</v>
      </c>
      <c r="F203" s="63">
        <v>3</v>
      </c>
      <c r="G203" s="66">
        <f t="shared" si="7"/>
        <v>1200</v>
      </c>
      <c r="H203" s="66">
        <v>1500</v>
      </c>
      <c r="I203" s="67">
        <f t="shared" si="4"/>
        <v>4500</v>
      </c>
    </row>
    <row r="204" spans="1:9">
      <c r="A204" s="63">
        <v>22</v>
      </c>
      <c r="C204" s="65" t="s">
        <v>135</v>
      </c>
      <c r="D204" s="63" t="s">
        <v>121</v>
      </c>
      <c r="E204" s="63" t="s">
        <v>261</v>
      </c>
      <c r="F204" s="63">
        <v>2</v>
      </c>
      <c r="G204" s="66">
        <f t="shared" si="7"/>
        <v>1200</v>
      </c>
      <c r="H204" s="66">
        <v>1500</v>
      </c>
      <c r="I204" s="67">
        <f t="shared" si="4"/>
        <v>3000</v>
      </c>
    </row>
    <row r="205" spans="1:9">
      <c r="A205" s="63">
        <v>23</v>
      </c>
      <c r="C205" s="65" t="s">
        <v>136</v>
      </c>
      <c r="D205" s="63" t="s">
        <v>121</v>
      </c>
      <c r="E205" s="63" t="s">
        <v>262</v>
      </c>
      <c r="F205" s="63">
        <v>2</v>
      </c>
      <c r="G205" s="66">
        <f t="shared" si="7"/>
        <v>1200</v>
      </c>
      <c r="H205" s="66">
        <v>1500</v>
      </c>
      <c r="I205" s="67">
        <f t="shared" ref="I205:I249" si="8">F205*H205</f>
        <v>3000</v>
      </c>
    </row>
    <row r="206" spans="1:9">
      <c r="A206" s="63">
        <v>24</v>
      </c>
      <c r="C206" s="65" t="s">
        <v>137</v>
      </c>
      <c r="D206" s="63" t="s">
        <v>121</v>
      </c>
      <c r="E206" s="63" t="s">
        <v>263</v>
      </c>
      <c r="F206" s="63">
        <v>2</v>
      </c>
      <c r="G206" s="66">
        <f t="shared" si="7"/>
        <v>1200</v>
      </c>
      <c r="H206" s="66">
        <v>1500</v>
      </c>
      <c r="I206" s="67">
        <f t="shared" si="8"/>
        <v>3000</v>
      </c>
    </row>
    <row r="207" spans="1:9">
      <c r="A207" s="63">
        <v>25</v>
      </c>
      <c r="C207" s="65" t="s">
        <v>138</v>
      </c>
      <c r="D207" s="63" t="s">
        <v>121</v>
      </c>
      <c r="E207" s="63" t="s">
        <v>264</v>
      </c>
      <c r="F207" s="63">
        <v>2</v>
      </c>
      <c r="G207" s="66">
        <f t="shared" si="7"/>
        <v>1200</v>
      </c>
      <c r="H207" s="66">
        <v>1500</v>
      </c>
      <c r="I207" s="67">
        <f t="shared" si="8"/>
        <v>3000</v>
      </c>
    </row>
    <row r="208" spans="1:9">
      <c r="A208" s="63">
        <v>1</v>
      </c>
      <c r="B208" s="102" t="s">
        <v>396</v>
      </c>
      <c r="C208" s="65" t="s">
        <v>397</v>
      </c>
      <c r="D208" s="63" t="s">
        <v>398</v>
      </c>
      <c r="E208" s="63" t="s">
        <v>399</v>
      </c>
      <c r="F208" s="63">
        <v>3</v>
      </c>
      <c r="G208" s="66">
        <f t="shared" si="7"/>
        <v>12000</v>
      </c>
      <c r="H208" s="66">
        <v>15000</v>
      </c>
      <c r="I208" s="67">
        <f t="shared" si="8"/>
        <v>45000</v>
      </c>
    </row>
    <row r="209" spans="1:10">
      <c r="A209" s="63">
        <v>2</v>
      </c>
      <c r="C209" s="65" t="s">
        <v>447</v>
      </c>
      <c r="D209" s="63" t="s">
        <v>151</v>
      </c>
      <c r="E209" s="63" t="s">
        <v>449</v>
      </c>
      <c r="F209" s="63">
        <v>3</v>
      </c>
      <c r="G209" s="66">
        <f t="shared" si="7"/>
        <v>2800</v>
      </c>
      <c r="H209" s="66">
        <v>3500</v>
      </c>
      <c r="I209" s="67">
        <f t="shared" si="8"/>
        <v>10500</v>
      </c>
    </row>
    <row r="210" spans="1:10">
      <c r="A210" s="63">
        <v>3</v>
      </c>
      <c r="C210" s="65" t="s">
        <v>448</v>
      </c>
      <c r="D210" s="63" t="s">
        <v>151</v>
      </c>
      <c r="E210" s="63" t="s">
        <v>450</v>
      </c>
      <c r="F210" s="63">
        <v>2</v>
      </c>
      <c r="G210" s="66">
        <f t="shared" si="7"/>
        <v>3200</v>
      </c>
      <c r="H210" s="66">
        <v>4000</v>
      </c>
      <c r="I210" s="67">
        <f t="shared" si="8"/>
        <v>8000</v>
      </c>
    </row>
    <row r="211" spans="1:10">
      <c r="A211" s="63">
        <v>4</v>
      </c>
      <c r="C211" s="65" t="s">
        <v>451</v>
      </c>
      <c r="D211" s="63" t="s">
        <v>452</v>
      </c>
      <c r="E211" s="63" t="s">
        <v>453</v>
      </c>
      <c r="F211" s="63">
        <v>5</v>
      </c>
      <c r="G211" s="66">
        <f t="shared" si="7"/>
        <v>4000</v>
      </c>
      <c r="H211" s="66">
        <v>5000</v>
      </c>
      <c r="I211" s="67">
        <f t="shared" si="8"/>
        <v>25000</v>
      </c>
    </row>
    <row r="212" spans="1:10">
      <c r="A212" s="63">
        <v>5</v>
      </c>
      <c r="C212" s="65" t="s">
        <v>454</v>
      </c>
      <c r="D212" s="63" t="s">
        <v>455</v>
      </c>
      <c r="E212" s="63" t="s">
        <v>456</v>
      </c>
      <c r="F212" s="63">
        <v>3</v>
      </c>
      <c r="G212" s="66">
        <f t="shared" si="7"/>
        <v>6000</v>
      </c>
      <c r="H212" s="66">
        <v>7500</v>
      </c>
      <c r="I212" s="67">
        <f t="shared" si="8"/>
        <v>22500</v>
      </c>
    </row>
    <row r="213" spans="1:10">
      <c r="A213" s="63">
        <v>6</v>
      </c>
      <c r="C213" s="65" t="s">
        <v>457</v>
      </c>
      <c r="D213" s="63" t="s">
        <v>458</v>
      </c>
      <c r="E213" s="63" t="s">
        <v>459</v>
      </c>
      <c r="F213" s="63">
        <v>3</v>
      </c>
      <c r="G213" s="66">
        <f t="shared" si="7"/>
        <v>9600</v>
      </c>
      <c r="H213" s="66">
        <v>12000</v>
      </c>
      <c r="I213" s="67">
        <f t="shared" si="8"/>
        <v>36000</v>
      </c>
    </row>
    <row r="214" spans="1:10">
      <c r="A214" s="63">
        <v>7</v>
      </c>
      <c r="C214" s="65" t="s">
        <v>460</v>
      </c>
      <c r="D214" s="63" t="s">
        <v>455</v>
      </c>
      <c r="E214" s="63" t="s">
        <v>461</v>
      </c>
      <c r="F214" s="63">
        <v>3</v>
      </c>
      <c r="G214" s="66">
        <f t="shared" si="7"/>
        <v>3600</v>
      </c>
      <c r="H214" s="66">
        <v>4500</v>
      </c>
      <c r="I214" s="67">
        <f t="shared" si="8"/>
        <v>13500</v>
      </c>
    </row>
    <row r="215" spans="1:10">
      <c r="A215" s="63">
        <v>8</v>
      </c>
      <c r="C215" s="65" t="s">
        <v>402</v>
      </c>
      <c r="D215" s="63" t="s">
        <v>403</v>
      </c>
      <c r="E215" s="63" t="s">
        <v>406</v>
      </c>
      <c r="F215" s="63">
        <v>5</v>
      </c>
      <c r="G215" s="66">
        <f t="shared" si="7"/>
        <v>4400</v>
      </c>
      <c r="H215" s="66">
        <v>5500</v>
      </c>
      <c r="I215" s="67">
        <f t="shared" si="8"/>
        <v>27500</v>
      </c>
    </row>
    <row r="216" spans="1:10">
      <c r="A216" s="63">
        <v>9</v>
      </c>
      <c r="C216" s="65" t="s">
        <v>404</v>
      </c>
      <c r="D216" s="63" t="s">
        <v>405</v>
      </c>
      <c r="E216" s="63" t="s">
        <v>407</v>
      </c>
      <c r="F216" s="63">
        <v>2</v>
      </c>
      <c r="G216" s="66">
        <f t="shared" si="7"/>
        <v>10400</v>
      </c>
      <c r="H216" s="66">
        <v>13000</v>
      </c>
      <c r="I216" s="67">
        <f t="shared" si="8"/>
        <v>26000</v>
      </c>
    </row>
    <row r="217" spans="1:10">
      <c r="A217" s="63">
        <v>10</v>
      </c>
      <c r="C217" s="65" t="s">
        <v>481</v>
      </c>
      <c r="D217" s="63" t="s">
        <v>482</v>
      </c>
      <c r="E217" s="63" t="s">
        <v>483</v>
      </c>
      <c r="F217" s="63">
        <v>5</v>
      </c>
      <c r="G217" s="66">
        <f t="shared" si="7"/>
        <v>13600</v>
      </c>
      <c r="H217" s="66">
        <v>17000</v>
      </c>
      <c r="I217" s="67">
        <f t="shared" si="8"/>
        <v>85000</v>
      </c>
    </row>
    <row r="218" spans="1:10">
      <c r="A218" s="63">
        <v>11</v>
      </c>
      <c r="C218" s="65" t="s">
        <v>400</v>
      </c>
      <c r="D218" s="63" t="s">
        <v>398</v>
      </c>
      <c r="E218" s="63" t="s">
        <v>401</v>
      </c>
      <c r="F218" s="63">
        <v>3</v>
      </c>
      <c r="G218" s="66">
        <f t="shared" si="7"/>
        <v>8400</v>
      </c>
      <c r="H218" s="66">
        <v>10500</v>
      </c>
      <c r="I218" s="67">
        <f t="shared" si="8"/>
        <v>31500</v>
      </c>
    </row>
    <row r="219" spans="1:10">
      <c r="A219" s="63"/>
      <c r="B219" s="64"/>
      <c r="C219" s="91" t="s">
        <v>5</v>
      </c>
      <c r="D219" s="88"/>
      <c r="E219" s="88"/>
      <c r="F219" s="92">
        <f>SUM(F184:F218)</f>
        <v>94</v>
      </c>
      <c r="G219" s="104">
        <f>SUM(G184:G218)</f>
        <v>132960</v>
      </c>
      <c r="H219" s="104">
        <f>SUM(H184:H218)</f>
        <v>166200</v>
      </c>
      <c r="I219" s="105">
        <f>SUM(I184:I218)</f>
        <v>496100</v>
      </c>
      <c r="J219" s="106"/>
    </row>
    <row r="220" spans="1:10" s="96" customFormat="1">
      <c r="A220" s="107"/>
      <c r="B220" s="108"/>
      <c r="C220" s="98"/>
      <c r="D220" s="99"/>
      <c r="E220" s="99"/>
      <c r="F220" s="99"/>
      <c r="G220" s="100"/>
      <c r="H220" s="100"/>
      <c r="I220" s="101"/>
    </row>
    <row r="221" spans="1:10">
      <c r="A221" s="63">
        <v>1</v>
      </c>
      <c r="B221" s="102" t="s">
        <v>139</v>
      </c>
      <c r="C221" s="65" t="s">
        <v>140</v>
      </c>
      <c r="D221" s="63" t="s">
        <v>93</v>
      </c>
      <c r="E221" s="63" t="s">
        <v>265</v>
      </c>
      <c r="F221" s="63">
        <v>5</v>
      </c>
      <c r="G221" s="66">
        <f>H221*20/100*4</f>
        <v>2400</v>
      </c>
      <c r="H221" s="66">
        <v>3000</v>
      </c>
      <c r="I221" s="67">
        <f t="shared" si="8"/>
        <v>15000</v>
      </c>
    </row>
    <row r="222" spans="1:10">
      <c r="A222" s="63"/>
      <c r="C222" s="91" t="s">
        <v>5</v>
      </c>
      <c r="D222" s="88"/>
      <c r="E222" s="88"/>
      <c r="F222" s="92">
        <v>5</v>
      </c>
      <c r="G222" s="104">
        <f>H222*20/100*4</f>
        <v>2400</v>
      </c>
      <c r="H222" s="104">
        <f>SUM(H221)</f>
        <v>3000</v>
      </c>
      <c r="I222" s="105">
        <f>SUM(I221)</f>
        <v>15000</v>
      </c>
      <c r="J222" s="106"/>
    </row>
    <row r="223" spans="1:10">
      <c r="A223" s="63"/>
      <c r="B223" s="103"/>
      <c r="C223" s="98"/>
      <c r="D223" s="63"/>
      <c r="E223" s="63"/>
      <c r="F223" s="99"/>
      <c r="G223" s="66"/>
      <c r="H223" s="66"/>
      <c r="I223" s="109"/>
    </row>
    <row r="224" spans="1:10">
      <c r="A224" s="63">
        <v>1</v>
      </c>
      <c r="B224" s="102" t="s">
        <v>490</v>
      </c>
      <c r="C224" s="65" t="s">
        <v>141</v>
      </c>
      <c r="D224" s="63" t="s">
        <v>112</v>
      </c>
      <c r="E224" s="63" t="s">
        <v>266</v>
      </c>
      <c r="F224" s="63">
        <v>1</v>
      </c>
      <c r="G224" s="66">
        <f t="shared" ref="G224:G229" si="9">H224*20/100*4</f>
        <v>1200</v>
      </c>
      <c r="H224" s="66">
        <v>1500</v>
      </c>
      <c r="I224" s="67">
        <f t="shared" si="8"/>
        <v>1500</v>
      </c>
    </row>
    <row r="225" spans="1:10">
      <c r="A225" s="63">
        <v>2</v>
      </c>
      <c r="B225" s="102"/>
      <c r="C225" s="65" t="s">
        <v>141</v>
      </c>
      <c r="D225" s="63" t="s">
        <v>63</v>
      </c>
      <c r="E225" s="63" t="s">
        <v>267</v>
      </c>
      <c r="F225" s="63">
        <v>2</v>
      </c>
      <c r="G225" s="66">
        <f t="shared" si="9"/>
        <v>2400</v>
      </c>
      <c r="H225" s="66">
        <v>3000</v>
      </c>
      <c r="I225" s="67">
        <f t="shared" si="8"/>
        <v>6000</v>
      </c>
    </row>
    <row r="226" spans="1:10">
      <c r="A226" s="63">
        <v>3</v>
      </c>
      <c r="B226" s="102"/>
      <c r="C226" s="65" t="s">
        <v>491</v>
      </c>
      <c r="D226" s="63" t="s">
        <v>492</v>
      </c>
      <c r="E226" s="63" t="s">
        <v>493</v>
      </c>
      <c r="F226" s="63">
        <v>1</v>
      </c>
      <c r="G226" s="66">
        <f t="shared" si="9"/>
        <v>12000</v>
      </c>
      <c r="H226" s="66">
        <v>15000</v>
      </c>
      <c r="I226" s="67">
        <f t="shared" si="8"/>
        <v>15000</v>
      </c>
    </row>
    <row r="227" spans="1:10">
      <c r="A227" s="63">
        <v>4</v>
      </c>
      <c r="B227" s="102"/>
      <c r="C227" s="65" t="s">
        <v>491</v>
      </c>
      <c r="D227" s="63" t="s">
        <v>335</v>
      </c>
      <c r="E227" s="63" t="s">
        <v>494</v>
      </c>
      <c r="F227" s="63">
        <v>2</v>
      </c>
      <c r="G227" s="66">
        <f t="shared" si="9"/>
        <v>6000</v>
      </c>
      <c r="H227" s="66">
        <v>7500</v>
      </c>
      <c r="I227" s="67">
        <f t="shared" si="8"/>
        <v>15000</v>
      </c>
    </row>
    <row r="228" spans="1:10">
      <c r="A228" s="63">
        <v>5</v>
      </c>
      <c r="B228" s="102"/>
      <c r="C228" s="65" t="s">
        <v>495</v>
      </c>
      <c r="D228" s="63" t="s">
        <v>492</v>
      </c>
      <c r="E228" s="63" t="s">
        <v>496</v>
      </c>
      <c r="F228" s="63">
        <v>2</v>
      </c>
      <c r="G228" s="66">
        <f t="shared" si="9"/>
        <v>12000</v>
      </c>
      <c r="H228" s="66">
        <v>15000</v>
      </c>
      <c r="I228" s="67">
        <f t="shared" si="8"/>
        <v>30000</v>
      </c>
    </row>
    <row r="229" spans="1:10">
      <c r="A229" s="63">
        <v>6</v>
      </c>
      <c r="B229" s="102"/>
      <c r="C229" s="65" t="s">
        <v>495</v>
      </c>
      <c r="D229" s="63" t="s">
        <v>335</v>
      </c>
      <c r="E229" s="63" t="s">
        <v>497</v>
      </c>
      <c r="F229" s="63">
        <v>3</v>
      </c>
      <c r="G229" s="66">
        <f t="shared" si="9"/>
        <v>6000</v>
      </c>
      <c r="H229" s="66">
        <v>7500</v>
      </c>
      <c r="I229" s="67">
        <f t="shared" si="8"/>
        <v>22500</v>
      </c>
    </row>
    <row r="230" spans="1:10">
      <c r="A230" s="63"/>
      <c r="B230" s="102"/>
      <c r="C230" s="91" t="s">
        <v>5</v>
      </c>
      <c r="D230" s="88"/>
      <c r="E230" s="88"/>
      <c r="F230" s="92">
        <f>SUM(F224:F229)</f>
        <v>11</v>
      </c>
      <c r="G230" s="104">
        <f>SUM(G224:G229)</f>
        <v>39600</v>
      </c>
      <c r="H230" s="104">
        <f>SUM(H224:H229)</f>
        <v>49500</v>
      </c>
      <c r="I230" s="105">
        <f>SUM(I224:I229)</f>
        <v>90000</v>
      </c>
      <c r="J230" s="106"/>
    </row>
    <row r="231" spans="1:10">
      <c r="A231" s="63"/>
      <c r="B231" s="103"/>
      <c r="C231" s="98"/>
      <c r="D231" s="63"/>
      <c r="E231" s="63"/>
      <c r="F231" s="99"/>
      <c r="G231" s="66"/>
      <c r="H231" s="66"/>
      <c r="I231" s="109"/>
    </row>
    <row r="232" spans="1:10" ht="14.25" customHeight="1">
      <c r="A232" s="63">
        <v>1</v>
      </c>
      <c r="B232" s="102" t="s">
        <v>142</v>
      </c>
      <c r="C232" s="65" t="s">
        <v>143</v>
      </c>
      <c r="D232" s="63" t="s">
        <v>144</v>
      </c>
      <c r="E232" s="63" t="s">
        <v>268</v>
      </c>
      <c r="F232" s="63">
        <v>4</v>
      </c>
      <c r="G232" s="66">
        <f t="shared" ref="G232:G249" si="10">H232*20/100*4</f>
        <v>12000</v>
      </c>
      <c r="H232" s="66">
        <v>15000</v>
      </c>
      <c r="I232" s="67">
        <f t="shared" si="8"/>
        <v>60000</v>
      </c>
    </row>
    <row r="233" spans="1:10">
      <c r="A233" s="63">
        <v>2</v>
      </c>
      <c r="C233" s="65" t="s">
        <v>145</v>
      </c>
      <c r="D233" s="63" t="s">
        <v>464</v>
      </c>
      <c r="E233" s="63" t="s">
        <v>269</v>
      </c>
      <c r="F233" s="63">
        <v>2</v>
      </c>
      <c r="G233" s="66">
        <f t="shared" si="10"/>
        <v>2800</v>
      </c>
      <c r="H233" s="66">
        <v>3500</v>
      </c>
      <c r="I233" s="67">
        <f t="shared" si="8"/>
        <v>7000</v>
      </c>
    </row>
    <row r="234" spans="1:10">
      <c r="A234" s="63">
        <v>3</v>
      </c>
      <c r="C234" s="65" t="s">
        <v>146</v>
      </c>
      <c r="D234" s="63" t="s">
        <v>147</v>
      </c>
      <c r="E234" s="63" t="s">
        <v>270</v>
      </c>
      <c r="F234" s="63">
        <v>3</v>
      </c>
      <c r="G234" s="66">
        <f t="shared" si="10"/>
        <v>8000</v>
      </c>
      <c r="H234" s="66">
        <v>10000</v>
      </c>
      <c r="I234" s="67">
        <f t="shared" si="8"/>
        <v>30000</v>
      </c>
    </row>
    <row r="235" spans="1:10">
      <c r="A235" s="63">
        <v>4</v>
      </c>
      <c r="C235" s="65" t="s">
        <v>146</v>
      </c>
      <c r="D235" s="63" t="s">
        <v>464</v>
      </c>
      <c r="E235" s="63" t="s">
        <v>465</v>
      </c>
      <c r="F235" s="63">
        <v>2</v>
      </c>
      <c r="G235" s="66">
        <f t="shared" si="10"/>
        <v>3600</v>
      </c>
      <c r="H235" s="66">
        <v>4500</v>
      </c>
      <c r="I235" s="67">
        <f t="shared" si="8"/>
        <v>9000</v>
      </c>
    </row>
    <row r="236" spans="1:10">
      <c r="A236" s="63">
        <v>5</v>
      </c>
      <c r="C236" s="65" t="s">
        <v>143</v>
      </c>
      <c r="D236" s="63" t="s">
        <v>464</v>
      </c>
      <c r="E236" s="63" t="s">
        <v>466</v>
      </c>
      <c r="F236" s="63">
        <v>3</v>
      </c>
      <c r="G236" s="66">
        <f t="shared" si="10"/>
        <v>3200</v>
      </c>
      <c r="H236" s="66">
        <v>4000</v>
      </c>
      <c r="I236" s="67">
        <f t="shared" si="8"/>
        <v>12000</v>
      </c>
    </row>
    <row r="237" spans="1:10">
      <c r="A237" s="63">
        <v>6</v>
      </c>
      <c r="C237" s="65" t="s">
        <v>143</v>
      </c>
      <c r="D237" s="63" t="s">
        <v>147</v>
      </c>
      <c r="E237" s="63" t="s">
        <v>468</v>
      </c>
      <c r="F237" s="63">
        <v>2</v>
      </c>
      <c r="G237" s="66">
        <f t="shared" si="10"/>
        <v>8000</v>
      </c>
      <c r="H237" s="66">
        <v>10000</v>
      </c>
      <c r="I237" s="67">
        <f t="shared" si="8"/>
        <v>20000</v>
      </c>
    </row>
    <row r="238" spans="1:10">
      <c r="A238" s="63">
        <v>7</v>
      </c>
      <c r="C238" s="65" t="s">
        <v>467</v>
      </c>
      <c r="D238" s="63" t="s">
        <v>144</v>
      </c>
      <c r="E238" s="63" t="s">
        <v>470</v>
      </c>
      <c r="F238" s="63">
        <v>2</v>
      </c>
      <c r="G238" s="66">
        <f t="shared" si="10"/>
        <v>12400</v>
      </c>
      <c r="H238" s="66">
        <v>15500</v>
      </c>
      <c r="I238" s="67">
        <f t="shared" si="8"/>
        <v>31000</v>
      </c>
    </row>
    <row r="239" spans="1:10">
      <c r="A239" s="63">
        <v>8</v>
      </c>
      <c r="C239" s="65" t="s">
        <v>467</v>
      </c>
      <c r="D239" s="63" t="s">
        <v>469</v>
      </c>
      <c r="E239" s="63" t="s">
        <v>471</v>
      </c>
      <c r="F239" s="63">
        <v>1</v>
      </c>
      <c r="G239" s="66">
        <f t="shared" si="10"/>
        <v>8400</v>
      </c>
      <c r="H239" s="66">
        <v>10500</v>
      </c>
      <c r="I239" s="67">
        <f t="shared" si="8"/>
        <v>10500</v>
      </c>
    </row>
    <row r="240" spans="1:10">
      <c r="A240" s="63">
        <v>9</v>
      </c>
      <c r="C240" s="65" t="s">
        <v>472</v>
      </c>
      <c r="D240" s="63" t="s">
        <v>147</v>
      </c>
      <c r="E240" s="63" t="s">
        <v>473</v>
      </c>
      <c r="F240" s="63">
        <v>1</v>
      </c>
      <c r="G240" s="66">
        <f t="shared" si="10"/>
        <v>8800</v>
      </c>
      <c r="H240" s="66">
        <v>11000</v>
      </c>
      <c r="I240" s="67">
        <f t="shared" si="8"/>
        <v>11000</v>
      </c>
    </row>
    <row r="241" spans="1:10">
      <c r="A241" s="63">
        <v>10</v>
      </c>
      <c r="C241" s="65" t="s">
        <v>462</v>
      </c>
      <c r="D241" s="63" t="s">
        <v>147</v>
      </c>
      <c r="E241" s="63" t="s">
        <v>463</v>
      </c>
      <c r="F241" s="63">
        <v>2</v>
      </c>
      <c r="G241" s="66">
        <f t="shared" si="10"/>
        <v>3600</v>
      </c>
      <c r="H241" s="66">
        <v>4500</v>
      </c>
      <c r="I241" s="67">
        <f t="shared" si="8"/>
        <v>9000</v>
      </c>
    </row>
    <row r="242" spans="1:10">
      <c r="A242" s="88"/>
      <c r="B242" s="102"/>
      <c r="C242" s="91" t="s">
        <v>5</v>
      </c>
      <c r="D242" s="88"/>
      <c r="E242" s="88"/>
      <c r="F242" s="92">
        <f>SUM(F232:F241)</f>
        <v>22</v>
      </c>
      <c r="G242" s="110">
        <f>SUM(G232:G241)</f>
        <v>70800</v>
      </c>
      <c r="H242" s="104">
        <f>SUM(H232:H241)</f>
        <v>88500</v>
      </c>
      <c r="I242" s="105">
        <f>SUM(I232:I241)</f>
        <v>199500</v>
      </c>
      <c r="J242" s="106"/>
    </row>
    <row r="243" spans="1:10">
      <c r="A243" s="63"/>
      <c r="B243" s="103"/>
      <c r="C243" s="98"/>
      <c r="D243" s="63"/>
      <c r="E243" s="63"/>
      <c r="F243" s="99"/>
      <c r="G243" s="66"/>
      <c r="H243" s="66"/>
      <c r="I243" s="109"/>
    </row>
    <row r="244" spans="1:10">
      <c r="A244" s="63">
        <v>1</v>
      </c>
      <c r="B244" s="102" t="s">
        <v>281</v>
      </c>
      <c r="C244" s="65" t="s">
        <v>150</v>
      </c>
      <c r="D244" s="63" t="s">
        <v>151</v>
      </c>
      <c r="E244" s="63" t="s">
        <v>271</v>
      </c>
      <c r="F244" s="63">
        <v>2</v>
      </c>
      <c r="G244" s="66">
        <f t="shared" si="10"/>
        <v>15600</v>
      </c>
      <c r="H244" s="66">
        <v>19500</v>
      </c>
      <c r="I244" s="67">
        <f t="shared" si="8"/>
        <v>39000</v>
      </c>
    </row>
    <row r="245" spans="1:10">
      <c r="A245" s="63">
        <v>2</v>
      </c>
      <c r="B245" s="102" t="s">
        <v>282</v>
      </c>
      <c r="C245" s="65" t="s">
        <v>150</v>
      </c>
      <c r="D245" s="63" t="s">
        <v>152</v>
      </c>
      <c r="E245" s="63" t="s">
        <v>272</v>
      </c>
      <c r="F245" s="63">
        <v>3</v>
      </c>
      <c r="G245" s="66">
        <f t="shared" si="10"/>
        <v>9600</v>
      </c>
      <c r="H245" s="66">
        <v>12000</v>
      </c>
      <c r="I245" s="67">
        <f t="shared" si="8"/>
        <v>36000</v>
      </c>
    </row>
    <row r="246" spans="1:10">
      <c r="A246" s="63">
        <v>3</v>
      </c>
      <c r="B246" s="102"/>
      <c r="C246" s="65" t="s">
        <v>148</v>
      </c>
      <c r="D246" s="63" t="s">
        <v>475</v>
      </c>
      <c r="E246" s="63" t="s">
        <v>474</v>
      </c>
      <c r="F246" s="63">
        <v>3</v>
      </c>
      <c r="G246" s="66">
        <f t="shared" si="10"/>
        <v>8000</v>
      </c>
      <c r="H246" s="66">
        <v>10000</v>
      </c>
      <c r="I246" s="67">
        <f t="shared" si="8"/>
        <v>30000</v>
      </c>
    </row>
    <row r="247" spans="1:10">
      <c r="A247" s="63">
        <v>4</v>
      </c>
      <c r="C247" s="65" t="s">
        <v>148</v>
      </c>
      <c r="D247" s="63" t="s">
        <v>149</v>
      </c>
      <c r="E247" s="63" t="s">
        <v>477</v>
      </c>
      <c r="F247" s="63">
        <v>4</v>
      </c>
      <c r="G247" s="66">
        <f t="shared" si="10"/>
        <v>12000</v>
      </c>
      <c r="H247" s="66">
        <v>15000</v>
      </c>
      <c r="I247" s="67">
        <f t="shared" si="8"/>
        <v>60000</v>
      </c>
    </row>
    <row r="248" spans="1:10">
      <c r="A248" s="63">
        <v>5</v>
      </c>
      <c r="C248" s="65" t="s">
        <v>476</v>
      </c>
      <c r="D248" s="63" t="s">
        <v>475</v>
      </c>
      <c r="E248" s="63" t="s">
        <v>478</v>
      </c>
      <c r="F248" s="63">
        <v>2</v>
      </c>
      <c r="G248" s="66">
        <f t="shared" si="10"/>
        <v>7600</v>
      </c>
      <c r="H248" s="66">
        <v>9500</v>
      </c>
      <c r="I248" s="67">
        <f t="shared" si="8"/>
        <v>19000</v>
      </c>
    </row>
    <row r="249" spans="1:10">
      <c r="A249" s="63">
        <v>6</v>
      </c>
      <c r="B249" s="103"/>
      <c r="C249" s="65" t="s">
        <v>479</v>
      </c>
      <c r="D249" s="63" t="s">
        <v>464</v>
      </c>
      <c r="E249" s="63" t="s">
        <v>480</v>
      </c>
      <c r="F249" s="63">
        <v>2</v>
      </c>
      <c r="G249" s="66">
        <f t="shared" si="10"/>
        <v>9600</v>
      </c>
      <c r="H249" s="66">
        <v>12000</v>
      </c>
      <c r="I249" s="67">
        <f t="shared" si="8"/>
        <v>24000</v>
      </c>
    </row>
    <row r="250" spans="1:10">
      <c r="A250" s="88"/>
      <c r="B250" s="111"/>
      <c r="C250" s="91" t="s">
        <v>5</v>
      </c>
      <c r="D250" s="88"/>
      <c r="E250" s="88"/>
      <c r="F250" s="92">
        <f>SUM(F244:F249)</f>
        <v>16</v>
      </c>
      <c r="G250" s="110">
        <f>SUM(G244:G249)</f>
        <v>62400</v>
      </c>
      <c r="H250" s="104">
        <f>SUM(H244:H249)</f>
        <v>78000</v>
      </c>
      <c r="I250" s="105">
        <f>SUM(I244:I249)</f>
        <v>208000</v>
      </c>
      <c r="J250" s="106"/>
    </row>
    <row r="252" spans="1:10">
      <c r="J252" s="106"/>
    </row>
  </sheetData>
  <mergeCells count="14">
    <mergeCell ref="I88:I89"/>
    <mergeCell ref="A88:A89"/>
    <mergeCell ref="A4:A5"/>
    <mergeCell ref="B4:B5"/>
    <mergeCell ref="C4:C5"/>
    <mergeCell ref="D4:D5"/>
    <mergeCell ref="E4:E5"/>
    <mergeCell ref="F4:F5"/>
    <mergeCell ref="B88:C89"/>
    <mergeCell ref="D88:D89"/>
    <mergeCell ref="E88:E89"/>
    <mergeCell ref="F88:F89"/>
    <mergeCell ref="H88:H89"/>
    <mergeCell ref="G88:G89"/>
  </mergeCells>
  <pageMargins left="0.31" right="0" top="0.19685039370078741" bottom="0.19685039370078741" header="0" footer="0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89"/>
  <sheetViews>
    <sheetView workbookViewId="0">
      <selection activeCell="H58" sqref="H58"/>
    </sheetView>
  </sheetViews>
  <sheetFormatPr defaultRowHeight="15"/>
  <cols>
    <col min="1" max="1" width="31.140625" bestFit="1" customWidth="1"/>
    <col min="2" max="2" width="6.85546875" bestFit="1" customWidth="1"/>
    <col min="3" max="3" width="7.28515625" bestFit="1" customWidth="1"/>
    <col min="4" max="4" width="4.5703125" bestFit="1" customWidth="1"/>
    <col min="5" max="5" width="13.85546875" customWidth="1"/>
    <col min="6" max="6" width="14.7109375" customWidth="1"/>
    <col min="7" max="7" width="13.85546875" customWidth="1"/>
    <col min="8" max="8" width="10.28515625" bestFit="1" customWidth="1"/>
  </cols>
  <sheetData>
    <row r="1" spans="1:9" ht="15" customHeight="1"/>
    <row r="2" spans="1:9" ht="15" customHeight="1">
      <c r="A2" s="142" t="s">
        <v>2</v>
      </c>
      <c r="B2" s="143" t="s">
        <v>3</v>
      </c>
      <c r="C2" s="143" t="s">
        <v>4</v>
      </c>
      <c r="D2" s="144" t="s">
        <v>278</v>
      </c>
      <c r="E2" s="35" t="s">
        <v>273</v>
      </c>
      <c r="F2" s="13" t="s">
        <v>273</v>
      </c>
      <c r="G2" s="15" t="s">
        <v>274</v>
      </c>
      <c r="H2" s="130" t="s">
        <v>544</v>
      </c>
      <c r="I2" s="130"/>
    </row>
    <row r="3" spans="1:9" ht="15" customHeight="1">
      <c r="A3" s="142"/>
      <c r="B3" s="143"/>
      <c r="C3" s="143"/>
      <c r="D3" s="145"/>
      <c r="E3" s="36" t="s">
        <v>276</v>
      </c>
      <c r="F3" s="14" t="s">
        <v>277</v>
      </c>
      <c r="G3" s="16" t="s">
        <v>273</v>
      </c>
      <c r="H3" s="131" t="s">
        <v>545</v>
      </c>
      <c r="I3" s="131"/>
    </row>
    <row r="4" spans="1:9" ht="15" customHeight="1">
      <c r="A4" s="2" t="s">
        <v>8</v>
      </c>
      <c r="B4" s="3" t="s">
        <v>7</v>
      </c>
      <c r="C4" s="3" t="s">
        <v>159</v>
      </c>
      <c r="D4" s="37">
        <v>6</v>
      </c>
      <c r="E4" s="4">
        <f t="shared" ref="E4:E57" si="0">F4*20/100*4</f>
        <v>800</v>
      </c>
      <c r="F4" s="4">
        <v>1000</v>
      </c>
      <c r="G4" s="5">
        <f t="shared" ref="G4:G71" si="1">D4*F4</f>
        <v>6000</v>
      </c>
      <c r="H4" s="38">
        <v>1</v>
      </c>
      <c r="I4" s="38"/>
    </row>
    <row r="5" spans="1:9" ht="15" customHeight="1">
      <c r="A5" s="2" t="s">
        <v>9</v>
      </c>
      <c r="B5" s="6" t="s">
        <v>7</v>
      </c>
      <c r="C5" s="3" t="s">
        <v>160</v>
      </c>
      <c r="D5" s="37">
        <v>6</v>
      </c>
      <c r="E5" s="4">
        <f t="shared" si="0"/>
        <v>800</v>
      </c>
      <c r="F5" s="4">
        <v>1000</v>
      </c>
      <c r="G5" s="5">
        <f t="shared" si="1"/>
        <v>6000</v>
      </c>
      <c r="H5" s="38">
        <v>1</v>
      </c>
      <c r="I5" s="38"/>
    </row>
    <row r="6" spans="1:9" ht="15" customHeight="1">
      <c r="A6" s="2" t="s">
        <v>292</v>
      </c>
      <c r="B6" s="6" t="s">
        <v>290</v>
      </c>
      <c r="C6" s="3" t="s">
        <v>291</v>
      </c>
      <c r="D6" s="37">
        <v>6</v>
      </c>
      <c r="E6" s="4">
        <f t="shared" si="0"/>
        <v>400</v>
      </c>
      <c r="F6" s="4">
        <v>500</v>
      </c>
      <c r="G6" s="5">
        <f t="shared" si="1"/>
        <v>3000</v>
      </c>
      <c r="H6" s="38">
        <v>1</v>
      </c>
      <c r="I6" s="38"/>
    </row>
    <row r="7" spans="1:9" ht="15" customHeight="1">
      <c r="A7" s="2" t="s">
        <v>293</v>
      </c>
      <c r="B7" s="6" t="s">
        <v>21</v>
      </c>
      <c r="C7" s="3" t="s">
        <v>294</v>
      </c>
      <c r="D7" s="37">
        <v>6</v>
      </c>
      <c r="E7" s="4">
        <f t="shared" si="0"/>
        <v>400</v>
      </c>
      <c r="F7" s="4">
        <v>500</v>
      </c>
      <c r="G7" s="5">
        <f t="shared" si="1"/>
        <v>3000</v>
      </c>
      <c r="H7" s="38">
        <v>1</v>
      </c>
      <c r="I7" s="38"/>
    </row>
    <row r="8" spans="1:9" ht="15" customHeight="1">
      <c r="A8" s="2" t="s">
        <v>11</v>
      </c>
      <c r="B8" s="3" t="s">
        <v>12</v>
      </c>
      <c r="C8" s="3" t="s">
        <v>163</v>
      </c>
      <c r="D8" s="37">
        <v>6</v>
      </c>
      <c r="E8" s="4">
        <f t="shared" si="0"/>
        <v>800</v>
      </c>
      <c r="F8" s="4">
        <v>1000</v>
      </c>
      <c r="G8" s="5">
        <f t="shared" si="1"/>
        <v>6000</v>
      </c>
      <c r="H8" s="38">
        <v>3</v>
      </c>
      <c r="I8" s="38"/>
    </row>
    <row r="9" spans="1:9" ht="15" customHeight="1">
      <c r="A9" s="2" t="s">
        <v>13</v>
      </c>
      <c r="B9" s="3" t="s">
        <v>14</v>
      </c>
      <c r="C9" s="3" t="s">
        <v>164</v>
      </c>
      <c r="D9" s="3">
        <v>6</v>
      </c>
      <c r="E9" s="4">
        <f t="shared" si="0"/>
        <v>800</v>
      </c>
      <c r="F9" s="4">
        <v>1000</v>
      </c>
      <c r="G9" s="5">
        <f t="shared" si="1"/>
        <v>6000</v>
      </c>
      <c r="H9" s="38"/>
      <c r="I9" s="38"/>
    </row>
    <row r="10" spans="1:9" ht="15" customHeight="1">
      <c r="A10" s="2" t="s">
        <v>15</v>
      </c>
      <c r="B10" s="3" t="s">
        <v>16</v>
      </c>
      <c r="C10" s="3" t="s">
        <v>165</v>
      </c>
      <c r="D10" s="3">
        <v>6</v>
      </c>
      <c r="E10" s="4">
        <f t="shared" si="0"/>
        <v>800</v>
      </c>
      <c r="F10" s="4">
        <v>1000</v>
      </c>
      <c r="G10" s="5">
        <f t="shared" si="1"/>
        <v>6000</v>
      </c>
      <c r="H10" s="38">
        <v>1</v>
      </c>
      <c r="I10" s="38"/>
    </row>
    <row r="11" spans="1:9" ht="15" customHeight="1">
      <c r="A11" s="2" t="s">
        <v>17</v>
      </c>
      <c r="B11" s="3" t="s">
        <v>16</v>
      </c>
      <c r="C11" s="3" t="s">
        <v>166</v>
      </c>
      <c r="D11" s="3">
        <v>6</v>
      </c>
      <c r="E11" s="4">
        <f t="shared" si="0"/>
        <v>800</v>
      </c>
      <c r="F11" s="4">
        <v>1000</v>
      </c>
      <c r="G11" s="5">
        <f t="shared" si="1"/>
        <v>6000</v>
      </c>
      <c r="H11" s="39">
        <v>1</v>
      </c>
      <c r="I11" s="38"/>
    </row>
    <row r="12" spans="1:9" ht="15" customHeight="1">
      <c r="A12" s="2" t="s">
        <v>18</v>
      </c>
      <c r="B12" s="3" t="s">
        <v>19</v>
      </c>
      <c r="C12" s="3" t="s">
        <v>167</v>
      </c>
      <c r="D12" s="3">
        <v>6</v>
      </c>
      <c r="E12" s="4">
        <f t="shared" si="0"/>
        <v>800</v>
      </c>
      <c r="F12" s="4">
        <v>1000</v>
      </c>
      <c r="G12" s="5">
        <f t="shared" si="1"/>
        <v>6000</v>
      </c>
      <c r="H12" s="38">
        <v>2</v>
      </c>
      <c r="I12" s="38"/>
    </row>
    <row r="13" spans="1:9" ht="15" customHeight="1">
      <c r="A13" s="2" t="s">
        <v>20</v>
      </c>
      <c r="B13" s="3" t="s">
        <v>21</v>
      </c>
      <c r="C13" s="3" t="s">
        <v>168</v>
      </c>
      <c r="D13" s="3">
        <v>10</v>
      </c>
      <c r="E13" s="4">
        <f t="shared" si="0"/>
        <v>400</v>
      </c>
      <c r="F13" s="4">
        <v>500</v>
      </c>
      <c r="G13" s="5">
        <f t="shared" si="1"/>
        <v>5000</v>
      </c>
      <c r="H13" s="39">
        <v>6</v>
      </c>
      <c r="I13" s="38"/>
    </row>
    <row r="14" spans="1:9" ht="15" customHeight="1">
      <c r="A14" s="2" t="s">
        <v>22</v>
      </c>
      <c r="B14" s="3" t="s">
        <v>12</v>
      </c>
      <c r="C14" s="3" t="s">
        <v>170</v>
      </c>
      <c r="D14" s="3">
        <v>3</v>
      </c>
      <c r="E14" s="4">
        <f t="shared" si="0"/>
        <v>400</v>
      </c>
      <c r="F14" s="4">
        <v>500</v>
      </c>
      <c r="G14" s="5">
        <f t="shared" si="1"/>
        <v>1500</v>
      </c>
      <c r="H14" s="39">
        <v>1</v>
      </c>
      <c r="I14" s="38"/>
    </row>
    <row r="15" spans="1:9" ht="15" customHeight="1">
      <c r="A15" s="2" t="s">
        <v>283</v>
      </c>
      <c r="B15" s="3" t="s">
        <v>23</v>
      </c>
      <c r="C15" s="1" t="s">
        <v>295</v>
      </c>
      <c r="D15" s="3">
        <v>12</v>
      </c>
      <c r="E15" s="4">
        <f t="shared" si="0"/>
        <v>400</v>
      </c>
      <c r="F15" s="4">
        <v>500</v>
      </c>
      <c r="G15" s="5">
        <f t="shared" si="1"/>
        <v>6000</v>
      </c>
      <c r="H15" s="38" t="s">
        <v>409</v>
      </c>
      <c r="I15" s="38"/>
    </row>
    <row r="16" spans="1:9" ht="15" customHeight="1">
      <c r="A16" s="2" t="s">
        <v>287</v>
      </c>
      <c r="B16" s="3" t="s">
        <v>10</v>
      </c>
      <c r="C16" s="3" t="s">
        <v>173</v>
      </c>
      <c r="D16" s="3">
        <v>12</v>
      </c>
      <c r="E16" s="4">
        <f t="shared" si="0"/>
        <v>400</v>
      </c>
      <c r="F16" s="4">
        <v>500</v>
      </c>
      <c r="G16" s="5">
        <f t="shared" si="1"/>
        <v>6000</v>
      </c>
      <c r="H16" s="38">
        <v>10</v>
      </c>
      <c r="I16" s="38"/>
    </row>
    <row r="17" spans="1:9" ht="15" customHeight="1">
      <c r="A17" s="2" t="s">
        <v>24</v>
      </c>
      <c r="B17" s="3" t="s">
        <v>23</v>
      </c>
      <c r="C17" s="3" t="s">
        <v>174</v>
      </c>
      <c r="D17" s="3">
        <v>12</v>
      </c>
      <c r="E17" s="4">
        <f t="shared" si="0"/>
        <v>400</v>
      </c>
      <c r="F17" s="4">
        <v>500</v>
      </c>
      <c r="G17" s="5">
        <f t="shared" si="1"/>
        <v>6000</v>
      </c>
      <c r="H17" s="38" t="s">
        <v>409</v>
      </c>
      <c r="I17" s="38"/>
    </row>
    <row r="18" spans="1:9" ht="15" customHeight="1">
      <c r="A18" s="2" t="s">
        <v>25</v>
      </c>
      <c r="B18" s="3" t="s">
        <v>23</v>
      </c>
      <c r="C18" s="3" t="s">
        <v>175</v>
      </c>
      <c r="D18" s="3">
        <v>12</v>
      </c>
      <c r="E18" s="4">
        <f t="shared" si="0"/>
        <v>400</v>
      </c>
      <c r="F18" s="4">
        <v>500</v>
      </c>
      <c r="G18" s="5">
        <f t="shared" si="1"/>
        <v>6000</v>
      </c>
      <c r="H18" s="38" t="s">
        <v>409</v>
      </c>
      <c r="I18" s="38"/>
    </row>
    <row r="19" spans="1:9" ht="15" customHeight="1">
      <c r="A19" s="2" t="s">
        <v>307</v>
      </c>
      <c r="B19" s="3" t="s">
        <v>308</v>
      </c>
      <c r="C19" s="3" t="s">
        <v>312</v>
      </c>
      <c r="D19" s="3">
        <v>10</v>
      </c>
      <c r="E19" s="4">
        <f t="shared" si="0"/>
        <v>400</v>
      </c>
      <c r="F19" s="4">
        <v>500</v>
      </c>
      <c r="G19" s="5">
        <f t="shared" si="1"/>
        <v>5000</v>
      </c>
      <c r="H19" s="38">
        <v>1</v>
      </c>
      <c r="I19" s="38"/>
    </row>
    <row r="20" spans="1:9" ht="15" customHeight="1">
      <c r="A20" s="2" t="s">
        <v>315</v>
      </c>
      <c r="B20" s="3" t="s">
        <v>10</v>
      </c>
      <c r="C20" s="3" t="s">
        <v>318</v>
      </c>
      <c r="D20" s="3">
        <v>10</v>
      </c>
      <c r="E20" s="4">
        <f t="shared" si="0"/>
        <v>400</v>
      </c>
      <c r="F20" s="4">
        <v>500</v>
      </c>
      <c r="G20" s="5">
        <f t="shared" si="1"/>
        <v>5000</v>
      </c>
      <c r="H20" s="38">
        <v>1</v>
      </c>
      <c r="I20" s="38"/>
    </row>
    <row r="21" spans="1:9" ht="15" customHeight="1">
      <c r="A21" s="2" t="s">
        <v>317</v>
      </c>
      <c r="B21" s="3" t="s">
        <v>23</v>
      </c>
      <c r="C21" s="3" t="s">
        <v>320</v>
      </c>
      <c r="D21" s="3">
        <v>6</v>
      </c>
      <c r="E21" s="4">
        <f t="shared" si="0"/>
        <v>400</v>
      </c>
      <c r="F21" s="4">
        <v>500</v>
      </c>
      <c r="G21" s="5">
        <f t="shared" si="1"/>
        <v>3000</v>
      </c>
      <c r="H21" s="38">
        <v>2</v>
      </c>
      <c r="I21" s="38"/>
    </row>
    <row r="22" spans="1:9" ht="15" customHeight="1">
      <c r="A22" s="23" t="s">
        <v>60</v>
      </c>
      <c r="B22" s="21" t="s">
        <v>61</v>
      </c>
      <c r="C22" s="21" t="s">
        <v>215</v>
      </c>
      <c r="D22" s="21">
        <v>6</v>
      </c>
      <c r="E22" s="4">
        <f t="shared" si="0"/>
        <v>400</v>
      </c>
      <c r="F22" s="4">
        <v>500</v>
      </c>
      <c r="G22" s="22">
        <f>D22*F22</f>
        <v>3000</v>
      </c>
      <c r="H22" s="38" t="s">
        <v>409</v>
      </c>
      <c r="I22" s="38"/>
    </row>
    <row r="23" spans="1:9" ht="15" customHeight="1">
      <c r="A23" s="2" t="s">
        <v>309</v>
      </c>
      <c r="B23" s="3" t="s">
        <v>7</v>
      </c>
      <c r="C23" s="3" t="s">
        <v>310</v>
      </c>
      <c r="D23" s="3">
        <v>12</v>
      </c>
      <c r="E23" s="4">
        <f t="shared" si="0"/>
        <v>400</v>
      </c>
      <c r="F23" s="4">
        <v>500</v>
      </c>
      <c r="G23" s="5">
        <f t="shared" si="1"/>
        <v>6000</v>
      </c>
      <c r="H23" s="38">
        <v>5</v>
      </c>
      <c r="I23" s="38"/>
    </row>
    <row r="24" spans="1:9" ht="15" customHeight="1">
      <c r="A24" s="2" t="s">
        <v>27</v>
      </c>
      <c r="B24" s="3" t="s">
        <v>10</v>
      </c>
      <c r="C24" s="3" t="s">
        <v>176</v>
      </c>
      <c r="D24" s="3">
        <v>12</v>
      </c>
      <c r="E24" s="4">
        <f t="shared" si="0"/>
        <v>400</v>
      </c>
      <c r="F24" s="4">
        <v>500</v>
      </c>
      <c r="G24" s="5">
        <f t="shared" si="1"/>
        <v>6000</v>
      </c>
      <c r="H24" s="38">
        <v>1</v>
      </c>
      <c r="I24" s="38"/>
    </row>
    <row r="25" spans="1:9" ht="15" customHeight="1">
      <c r="A25" s="2" t="s">
        <v>28</v>
      </c>
      <c r="B25" s="3" t="s">
        <v>10</v>
      </c>
      <c r="C25" s="3" t="s">
        <v>177</v>
      </c>
      <c r="D25" s="3">
        <v>12</v>
      </c>
      <c r="E25" s="4">
        <f t="shared" si="0"/>
        <v>400</v>
      </c>
      <c r="F25" s="4">
        <v>500</v>
      </c>
      <c r="G25" s="5">
        <f t="shared" si="1"/>
        <v>6000</v>
      </c>
      <c r="H25" s="38" t="s">
        <v>409</v>
      </c>
      <c r="I25" s="38"/>
    </row>
    <row r="26" spans="1:9" ht="15" customHeight="1">
      <c r="A26" s="2" t="s">
        <v>30</v>
      </c>
      <c r="B26" s="3" t="s">
        <v>31</v>
      </c>
      <c r="C26" s="3" t="s">
        <v>178</v>
      </c>
      <c r="D26" s="3">
        <v>5</v>
      </c>
      <c r="E26" s="4">
        <f t="shared" si="0"/>
        <v>400</v>
      </c>
      <c r="F26" s="4">
        <v>500</v>
      </c>
      <c r="G26" s="5">
        <f t="shared" si="1"/>
        <v>2500</v>
      </c>
      <c r="H26" s="38" t="s">
        <v>409</v>
      </c>
      <c r="I26" s="38"/>
    </row>
    <row r="27" spans="1:9" ht="15" customHeight="1">
      <c r="A27" s="2" t="s">
        <v>33</v>
      </c>
      <c r="B27" s="3" t="s">
        <v>23</v>
      </c>
      <c r="C27" s="3" t="s">
        <v>179</v>
      </c>
      <c r="D27" s="3">
        <v>5</v>
      </c>
      <c r="E27" s="4">
        <f t="shared" si="0"/>
        <v>400</v>
      </c>
      <c r="F27" s="4">
        <v>500</v>
      </c>
      <c r="G27" s="5">
        <f t="shared" si="1"/>
        <v>2500</v>
      </c>
      <c r="H27" s="38">
        <v>3</v>
      </c>
      <c r="I27" s="38"/>
    </row>
    <row r="28" spans="1:9" ht="15" customHeight="1">
      <c r="A28" s="2" t="s">
        <v>288</v>
      </c>
      <c r="B28" s="3" t="s">
        <v>34</v>
      </c>
      <c r="C28" s="3" t="s">
        <v>180</v>
      </c>
      <c r="D28" s="3">
        <v>5</v>
      </c>
      <c r="E28" s="4">
        <f t="shared" si="0"/>
        <v>2400</v>
      </c>
      <c r="F28" s="4">
        <v>3000</v>
      </c>
      <c r="G28" s="5">
        <f t="shared" si="1"/>
        <v>15000</v>
      </c>
      <c r="H28" s="38">
        <v>4</v>
      </c>
      <c r="I28" s="38"/>
    </row>
    <row r="29" spans="1:9" ht="15" customHeight="1">
      <c r="A29" s="2" t="s">
        <v>289</v>
      </c>
      <c r="B29" s="3" t="s">
        <v>34</v>
      </c>
      <c r="C29" s="3" t="s">
        <v>181</v>
      </c>
      <c r="D29" s="3">
        <v>5</v>
      </c>
      <c r="E29" s="4">
        <f t="shared" si="0"/>
        <v>2400</v>
      </c>
      <c r="F29" s="4">
        <v>3000</v>
      </c>
      <c r="G29" s="5">
        <f t="shared" si="1"/>
        <v>15000</v>
      </c>
      <c r="H29" s="38">
        <v>3</v>
      </c>
      <c r="I29" s="38"/>
    </row>
    <row r="30" spans="1:9" ht="15" customHeight="1">
      <c r="A30" s="2" t="s">
        <v>35</v>
      </c>
      <c r="B30" s="3" t="s">
        <v>10</v>
      </c>
      <c r="C30" s="3" t="s">
        <v>182</v>
      </c>
      <c r="D30" s="3">
        <v>5</v>
      </c>
      <c r="E30" s="4">
        <f t="shared" si="0"/>
        <v>400</v>
      </c>
      <c r="F30" s="4">
        <v>500</v>
      </c>
      <c r="G30" s="5">
        <f t="shared" si="1"/>
        <v>2500</v>
      </c>
      <c r="H30" s="38" t="s">
        <v>409</v>
      </c>
      <c r="I30" s="38"/>
    </row>
    <row r="31" spans="1:9" ht="15" customHeight="1">
      <c r="A31" s="2" t="s">
        <v>37</v>
      </c>
      <c r="B31" s="3" t="s">
        <v>410</v>
      </c>
      <c r="C31" s="3" t="s">
        <v>183</v>
      </c>
      <c r="D31" s="3">
        <v>5</v>
      </c>
      <c r="E31" s="4">
        <f t="shared" si="0"/>
        <v>400</v>
      </c>
      <c r="F31" s="4">
        <v>500</v>
      </c>
      <c r="G31" s="5">
        <f t="shared" si="1"/>
        <v>2500</v>
      </c>
      <c r="H31" s="38" t="s">
        <v>409</v>
      </c>
      <c r="I31" s="38"/>
    </row>
    <row r="32" spans="1:9" ht="15" customHeight="1">
      <c r="A32" s="2" t="s">
        <v>38</v>
      </c>
      <c r="B32" s="3" t="s">
        <v>39</v>
      </c>
      <c r="C32" s="3" t="s">
        <v>184</v>
      </c>
      <c r="D32" s="3">
        <v>5</v>
      </c>
      <c r="E32" s="4">
        <f t="shared" si="0"/>
        <v>400</v>
      </c>
      <c r="F32" s="4">
        <v>500</v>
      </c>
      <c r="G32" s="5">
        <f t="shared" si="1"/>
        <v>2500</v>
      </c>
      <c r="H32" s="38" t="s">
        <v>409</v>
      </c>
      <c r="I32" s="38"/>
    </row>
    <row r="33" spans="1:9" ht="15" customHeight="1">
      <c r="A33" s="2" t="s">
        <v>41</v>
      </c>
      <c r="B33" s="3" t="s">
        <v>42</v>
      </c>
      <c r="C33" s="3" t="s">
        <v>186</v>
      </c>
      <c r="D33" s="3">
        <v>5</v>
      </c>
      <c r="E33" s="4">
        <f t="shared" si="0"/>
        <v>5200</v>
      </c>
      <c r="F33" s="4">
        <v>6500</v>
      </c>
      <c r="G33" s="5">
        <f t="shared" si="1"/>
        <v>32500</v>
      </c>
      <c r="H33" s="38">
        <v>4</v>
      </c>
      <c r="I33" s="38"/>
    </row>
    <row r="34" spans="1:9" ht="15" customHeight="1">
      <c r="A34" s="2" t="s">
        <v>43</v>
      </c>
      <c r="B34" s="3" t="s">
        <v>44</v>
      </c>
      <c r="C34" s="3" t="s">
        <v>187</v>
      </c>
      <c r="D34" s="3">
        <v>3</v>
      </c>
      <c r="E34" s="4">
        <f t="shared" si="0"/>
        <v>3600</v>
      </c>
      <c r="F34" s="4">
        <v>4500</v>
      </c>
      <c r="G34" s="5">
        <f t="shared" si="1"/>
        <v>13500</v>
      </c>
      <c r="H34" s="38" t="s">
        <v>409</v>
      </c>
      <c r="I34" s="38"/>
    </row>
    <row r="35" spans="1:9" ht="15" customHeight="1">
      <c r="A35" s="2" t="s">
        <v>45</v>
      </c>
      <c r="B35" s="3" t="s">
        <v>46</v>
      </c>
      <c r="C35" s="3" t="s">
        <v>188</v>
      </c>
      <c r="D35" s="3">
        <v>3</v>
      </c>
      <c r="E35" s="4">
        <f t="shared" si="0"/>
        <v>3600</v>
      </c>
      <c r="F35" s="4">
        <v>4500</v>
      </c>
      <c r="G35" s="5">
        <f t="shared" si="1"/>
        <v>13500</v>
      </c>
      <c r="H35" s="38">
        <v>2</v>
      </c>
      <c r="I35" s="38"/>
    </row>
    <row r="36" spans="1:9" ht="15" customHeight="1">
      <c r="A36" s="2" t="s">
        <v>47</v>
      </c>
      <c r="B36" s="3" t="s">
        <v>42</v>
      </c>
      <c r="C36" s="3" t="s">
        <v>189</v>
      </c>
      <c r="D36" s="3">
        <v>3</v>
      </c>
      <c r="E36" s="4">
        <f t="shared" si="0"/>
        <v>4400</v>
      </c>
      <c r="F36" s="4">
        <v>5500</v>
      </c>
      <c r="G36" s="5">
        <f t="shared" si="1"/>
        <v>16500</v>
      </c>
      <c r="H36" s="38">
        <v>2</v>
      </c>
      <c r="I36" s="38"/>
    </row>
    <row r="37" spans="1:9" ht="15" customHeight="1">
      <c r="A37" s="2" t="s">
        <v>48</v>
      </c>
      <c r="B37" s="3" t="s">
        <v>42</v>
      </c>
      <c r="C37" s="3" t="s">
        <v>190</v>
      </c>
      <c r="D37" s="3">
        <v>3</v>
      </c>
      <c r="E37" s="4">
        <f t="shared" si="0"/>
        <v>4400</v>
      </c>
      <c r="F37" s="4">
        <v>5500</v>
      </c>
      <c r="G37" s="5">
        <f t="shared" si="1"/>
        <v>16500</v>
      </c>
      <c r="H37" s="38">
        <v>1</v>
      </c>
      <c r="I37" s="38"/>
    </row>
    <row r="38" spans="1:9" ht="15" customHeight="1">
      <c r="A38" s="2" t="s">
        <v>49</v>
      </c>
      <c r="B38" s="3" t="s">
        <v>42</v>
      </c>
      <c r="C38" s="3" t="s">
        <v>191</v>
      </c>
      <c r="D38" s="3">
        <v>3</v>
      </c>
      <c r="E38" s="4">
        <f t="shared" si="0"/>
        <v>4400</v>
      </c>
      <c r="F38" s="4">
        <v>5500</v>
      </c>
      <c r="G38" s="5">
        <f t="shared" si="1"/>
        <v>16500</v>
      </c>
      <c r="H38" s="38">
        <v>1</v>
      </c>
      <c r="I38" s="38"/>
    </row>
    <row r="39" spans="1:9" ht="15" customHeight="1">
      <c r="A39" s="2" t="s">
        <v>50</v>
      </c>
      <c r="B39" s="3" t="s">
        <v>52</v>
      </c>
      <c r="C39" s="3" t="s">
        <v>192</v>
      </c>
      <c r="D39" s="3">
        <v>3</v>
      </c>
      <c r="E39" s="4">
        <f t="shared" si="0"/>
        <v>2400</v>
      </c>
      <c r="F39" s="4">
        <v>3000</v>
      </c>
      <c r="G39" s="5">
        <f t="shared" si="1"/>
        <v>9000</v>
      </c>
      <c r="H39" s="38">
        <v>2</v>
      </c>
      <c r="I39" s="38"/>
    </row>
    <row r="40" spans="1:9" ht="15" customHeight="1">
      <c r="A40" s="2" t="s">
        <v>51</v>
      </c>
      <c r="B40" s="3" t="s">
        <v>16</v>
      </c>
      <c r="C40" s="3" t="s">
        <v>193</v>
      </c>
      <c r="D40" s="3">
        <v>5</v>
      </c>
      <c r="E40" s="4">
        <f t="shared" si="0"/>
        <v>400</v>
      </c>
      <c r="F40" s="4">
        <v>500</v>
      </c>
      <c r="G40" s="5">
        <f t="shared" si="1"/>
        <v>2500</v>
      </c>
      <c r="H40" s="38">
        <v>3</v>
      </c>
      <c r="I40" s="38"/>
    </row>
    <row r="41" spans="1:9" ht="15" customHeight="1">
      <c r="A41" s="2" t="s">
        <v>53</v>
      </c>
      <c r="B41" s="3" t="s">
        <v>10</v>
      </c>
      <c r="C41" s="3" t="s">
        <v>194</v>
      </c>
      <c r="D41" s="3">
        <v>5</v>
      </c>
      <c r="E41" s="4">
        <f t="shared" si="0"/>
        <v>400</v>
      </c>
      <c r="F41" s="4">
        <v>500</v>
      </c>
      <c r="G41" s="5">
        <f t="shared" si="1"/>
        <v>2500</v>
      </c>
      <c r="H41" s="38" t="s">
        <v>409</v>
      </c>
      <c r="I41" s="38"/>
    </row>
    <row r="42" spans="1:9" ht="15" customHeight="1">
      <c r="A42" s="18" t="s">
        <v>56</v>
      </c>
      <c r="B42" s="17" t="s">
        <v>14</v>
      </c>
      <c r="C42" s="17" t="s">
        <v>197</v>
      </c>
      <c r="D42" s="17">
        <v>6</v>
      </c>
      <c r="E42" s="4">
        <f t="shared" si="0"/>
        <v>400</v>
      </c>
      <c r="F42" s="19">
        <v>500</v>
      </c>
      <c r="G42" s="20">
        <f t="shared" si="1"/>
        <v>3000</v>
      </c>
      <c r="H42" s="38">
        <v>2</v>
      </c>
      <c r="I42" s="38"/>
    </row>
    <row r="43" spans="1:9" ht="15" customHeight="1">
      <c r="A43" s="2" t="s">
        <v>305</v>
      </c>
      <c r="B43" s="3" t="s">
        <v>21</v>
      </c>
      <c r="C43" s="3" t="s">
        <v>306</v>
      </c>
      <c r="D43" s="3">
        <v>12</v>
      </c>
      <c r="E43" s="4">
        <f t="shared" si="0"/>
        <v>400</v>
      </c>
      <c r="F43" s="4">
        <v>500</v>
      </c>
      <c r="G43" s="5">
        <f t="shared" si="1"/>
        <v>6000</v>
      </c>
      <c r="H43" s="38">
        <v>6</v>
      </c>
      <c r="I43" s="38"/>
    </row>
    <row r="44" spans="1:9" ht="15" customHeight="1">
      <c r="A44" s="2" t="s">
        <v>379</v>
      </c>
      <c r="B44" s="3"/>
      <c r="C44" s="3" t="s">
        <v>380</v>
      </c>
      <c r="D44" s="3">
        <v>20</v>
      </c>
      <c r="E44" s="4">
        <f t="shared" si="0"/>
        <v>400</v>
      </c>
      <c r="F44" s="4">
        <v>500</v>
      </c>
      <c r="G44" s="5">
        <f t="shared" si="1"/>
        <v>10000</v>
      </c>
      <c r="H44" s="38">
        <v>8</v>
      </c>
      <c r="I44" s="38"/>
    </row>
    <row r="45" spans="1:9" ht="15" customHeight="1">
      <c r="A45" s="2" t="s">
        <v>381</v>
      </c>
      <c r="B45" s="3"/>
      <c r="C45" s="3" t="s">
        <v>382</v>
      </c>
      <c r="D45" s="3">
        <v>20</v>
      </c>
      <c r="E45" s="4">
        <f t="shared" si="0"/>
        <v>400</v>
      </c>
      <c r="F45" s="4">
        <v>500</v>
      </c>
      <c r="G45" s="5">
        <f t="shared" si="1"/>
        <v>10000</v>
      </c>
      <c r="H45" s="38">
        <v>9</v>
      </c>
      <c r="I45" s="38"/>
    </row>
    <row r="46" spans="1:9" ht="15" customHeight="1">
      <c r="A46" s="2" t="s">
        <v>383</v>
      </c>
      <c r="B46" s="3"/>
      <c r="C46" s="3" t="s">
        <v>384</v>
      </c>
      <c r="D46" s="3">
        <v>20</v>
      </c>
      <c r="E46" s="4">
        <f t="shared" si="0"/>
        <v>400</v>
      </c>
      <c r="F46" s="4">
        <v>500</v>
      </c>
      <c r="G46" s="5">
        <f t="shared" si="1"/>
        <v>10000</v>
      </c>
      <c r="H46" s="38">
        <v>11</v>
      </c>
      <c r="I46" s="38"/>
    </row>
    <row r="47" spans="1:9" ht="15" customHeight="1">
      <c r="A47" s="2" t="s">
        <v>90</v>
      </c>
      <c r="B47" s="3" t="s">
        <v>91</v>
      </c>
      <c r="C47" s="3" t="s">
        <v>202</v>
      </c>
      <c r="D47" s="3">
        <v>20</v>
      </c>
      <c r="E47" s="4">
        <f t="shared" si="0"/>
        <v>800</v>
      </c>
      <c r="F47" s="4">
        <v>1000</v>
      </c>
      <c r="G47" s="5">
        <f>D47*F47</f>
        <v>20000</v>
      </c>
      <c r="H47" s="38">
        <v>7</v>
      </c>
      <c r="I47" s="38"/>
    </row>
    <row r="48" spans="1:9" ht="15" customHeight="1">
      <c r="A48" s="2" t="s">
        <v>109</v>
      </c>
      <c r="B48" s="3" t="s">
        <v>95</v>
      </c>
      <c r="C48" s="3" t="s">
        <v>205</v>
      </c>
      <c r="D48" s="3">
        <v>10</v>
      </c>
      <c r="E48" s="4">
        <f t="shared" si="0"/>
        <v>1200</v>
      </c>
      <c r="F48" s="4">
        <v>1500</v>
      </c>
      <c r="G48" s="5">
        <f>D48*F48</f>
        <v>15000</v>
      </c>
      <c r="H48" s="38" t="s">
        <v>409</v>
      </c>
      <c r="I48" s="38"/>
    </row>
    <row r="49" spans="1:9" ht="15" customHeight="1">
      <c r="A49" s="2" t="s">
        <v>96</v>
      </c>
      <c r="B49" s="3" t="s">
        <v>97</v>
      </c>
      <c r="C49" s="3" t="s">
        <v>206</v>
      </c>
      <c r="D49" s="3">
        <v>10</v>
      </c>
      <c r="E49" s="4">
        <f t="shared" si="0"/>
        <v>1200</v>
      </c>
      <c r="F49" s="4">
        <v>1500</v>
      </c>
      <c r="G49" s="5">
        <f t="shared" ref="G49:G57" si="2">D49*F49</f>
        <v>15000</v>
      </c>
      <c r="H49" s="38">
        <v>3</v>
      </c>
      <c r="I49" s="38"/>
    </row>
    <row r="50" spans="1:9" ht="15" customHeight="1">
      <c r="A50" s="2" t="s">
        <v>99</v>
      </c>
      <c r="B50" s="3" t="s">
        <v>100</v>
      </c>
      <c r="C50" s="3" t="s">
        <v>207</v>
      </c>
      <c r="D50" s="3">
        <v>10</v>
      </c>
      <c r="E50" s="4">
        <f t="shared" si="0"/>
        <v>2000</v>
      </c>
      <c r="F50" s="4">
        <v>2500</v>
      </c>
      <c r="G50" s="5">
        <f t="shared" si="2"/>
        <v>25000</v>
      </c>
      <c r="H50" s="38" t="s">
        <v>409</v>
      </c>
      <c r="I50" s="38"/>
    </row>
    <row r="51" spans="1:9" ht="15" customHeight="1">
      <c r="A51" s="2" t="s">
        <v>101</v>
      </c>
      <c r="B51" s="3" t="s">
        <v>100</v>
      </c>
      <c r="C51" s="3" t="s">
        <v>208</v>
      </c>
      <c r="D51" s="3">
        <v>5</v>
      </c>
      <c r="E51" s="4">
        <f t="shared" si="0"/>
        <v>2000</v>
      </c>
      <c r="F51" s="4">
        <v>2500</v>
      </c>
      <c r="G51" s="5">
        <f t="shared" si="2"/>
        <v>12500</v>
      </c>
      <c r="H51" s="38" t="s">
        <v>409</v>
      </c>
      <c r="I51" s="38"/>
    </row>
    <row r="52" spans="1:9" ht="15" customHeight="1">
      <c r="A52" s="2" t="s">
        <v>102</v>
      </c>
      <c r="B52" s="3" t="s">
        <v>103</v>
      </c>
      <c r="C52" s="3" t="s">
        <v>209</v>
      </c>
      <c r="D52" s="3">
        <v>5</v>
      </c>
      <c r="E52" s="4">
        <f t="shared" si="0"/>
        <v>2000</v>
      </c>
      <c r="F52" s="4">
        <v>2500</v>
      </c>
      <c r="G52" s="5">
        <f t="shared" si="2"/>
        <v>12500</v>
      </c>
      <c r="H52" s="38" t="s">
        <v>409</v>
      </c>
      <c r="I52" s="38"/>
    </row>
    <row r="53" spans="1:9" ht="15" customHeight="1">
      <c r="A53" s="2" t="s">
        <v>104</v>
      </c>
      <c r="B53" s="3"/>
      <c r="C53" s="3" t="s">
        <v>210</v>
      </c>
      <c r="D53" s="3">
        <v>10</v>
      </c>
      <c r="E53" s="4">
        <f t="shared" si="0"/>
        <v>1360</v>
      </c>
      <c r="F53" s="4">
        <v>1700</v>
      </c>
      <c r="G53" s="5">
        <f t="shared" si="2"/>
        <v>17000</v>
      </c>
      <c r="H53" s="38" t="s">
        <v>409</v>
      </c>
      <c r="I53" s="38"/>
    </row>
    <row r="54" spans="1:9" ht="15" customHeight="1">
      <c r="A54" s="2" t="s">
        <v>105</v>
      </c>
      <c r="B54" s="3"/>
      <c r="C54" s="3" t="s">
        <v>211</v>
      </c>
      <c r="D54" s="3">
        <v>10</v>
      </c>
      <c r="E54" s="4">
        <f t="shared" si="0"/>
        <v>1360</v>
      </c>
      <c r="F54" s="4">
        <v>1700</v>
      </c>
      <c r="G54" s="5">
        <f t="shared" si="2"/>
        <v>17000</v>
      </c>
      <c r="H54" s="38" t="s">
        <v>409</v>
      </c>
      <c r="I54" s="38"/>
    </row>
    <row r="55" spans="1:9" ht="15" customHeight="1">
      <c r="A55" s="2" t="s">
        <v>106</v>
      </c>
      <c r="B55" s="3"/>
      <c r="C55" s="3" t="s">
        <v>212</v>
      </c>
      <c r="D55" s="3">
        <v>10</v>
      </c>
      <c r="E55" s="4">
        <f t="shared" si="0"/>
        <v>1360</v>
      </c>
      <c r="F55" s="4">
        <v>1700</v>
      </c>
      <c r="G55" s="5">
        <f t="shared" si="2"/>
        <v>17000</v>
      </c>
      <c r="H55" s="38" t="s">
        <v>409</v>
      </c>
      <c r="I55" s="38"/>
    </row>
    <row r="56" spans="1:9" ht="15" customHeight="1">
      <c r="A56" s="2" t="s">
        <v>107</v>
      </c>
      <c r="B56" s="3"/>
      <c r="C56" s="3" t="s">
        <v>213</v>
      </c>
      <c r="D56" s="3">
        <v>5</v>
      </c>
      <c r="E56" s="4">
        <f t="shared" si="0"/>
        <v>2000</v>
      </c>
      <c r="F56" s="4">
        <v>2500</v>
      </c>
      <c r="G56" s="5">
        <f t="shared" si="2"/>
        <v>12500</v>
      </c>
      <c r="H56" s="38" t="s">
        <v>409</v>
      </c>
      <c r="I56" s="38"/>
    </row>
    <row r="57" spans="1:9" ht="15" customHeight="1">
      <c r="A57" s="2" t="s">
        <v>108</v>
      </c>
      <c r="B57" s="3"/>
      <c r="C57" s="3" t="s">
        <v>214</v>
      </c>
      <c r="D57" s="3">
        <v>5</v>
      </c>
      <c r="E57" s="4">
        <f t="shared" si="0"/>
        <v>1600</v>
      </c>
      <c r="F57" s="4">
        <v>2000</v>
      </c>
      <c r="G57" s="5">
        <f t="shared" si="2"/>
        <v>10000</v>
      </c>
      <c r="H57" s="38" t="s">
        <v>409</v>
      </c>
      <c r="I57" s="38"/>
    </row>
    <row r="58" spans="1:9" ht="15" customHeight="1">
      <c r="A58" s="136"/>
      <c r="B58" s="138"/>
      <c r="C58" s="138"/>
      <c r="D58" s="138">
        <f>SUM(D4:D57)</f>
        <v>429</v>
      </c>
      <c r="E58" s="140">
        <f>SUM(E4:E57)</f>
        <v>66080</v>
      </c>
      <c r="F58" s="132">
        <f>SUM(F4:F57)</f>
        <v>82600</v>
      </c>
      <c r="G58" s="134">
        <f>SUM(G4:G57)</f>
        <v>490500</v>
      </c>
      <c r="H58" s="40"/>
      <c r="I58" s="38"/>
    </row>
    <row r="59" spans="1:9" ht="15" customHeight="1">
      <c r="A59" s="137"/>
      <c r="B59" s="139"/>
      <c r="C59" s="139"/>
      <c r="D59" s="139"/>
      <c r="E59" s="141"/>
      <c r="F59" s="133"/>
      <c r="G59" s="135"/>
      <c r="H59" s="41"/>
      <c r="I59" s="38"/>
    </row>
    <row r="60" spans="1:9" ht="15" customHeight="1">
      <c r="A60" s="25"/>
      <c r="B60" s="24"/>
      <c r="C60" s="24"/>
      <c r="D60" s="24"/>
      <c r="E60" s="26"/>
      <c r="F60" s="26"/>
      <c r="G60" s="27"/>
      <c r="H60" s="41"/>
      <c r="I60" s="38"/>
    </row>
    <row r="61" spans="1:9" ht="15" customHeight="1">
      <c r="A61" s="2" t="s">
        <v>62</v>
      </c>
      <c r="B61" s="3" t="s">
        <v>323</v>
      </c>
      <c r="C61" s="3" t="s">
        <v>325</v>
      </c>
      <c r="D61" s="3">
        <v>17</v>
      </c>
      <c r="E61" s="4">
        <f t="shared" ref="E61:E78" si="3">F61*20/100*4</f>
        <v>3200</v>
      </c>
      <c r="F61" s="4">
        <v>4000</v>
      </c>
      <c r="G61" s="5">
        <f t="shared" si="1"/>
        <v>68000</v>
      </c>
      <c r="H61" s="42"/>
      <c r="I61" s="38"/>
    </row>
    <row r="62" spans="1:9" ht="15" customHeight="1">
      <c r="A62" s="2" t="s">
        <v>330</v>
      </c>
      <c r="B62" s="3" t="s">
        <v>323</v>
      </c>
      <c r="C62" s="3" t="s">
        <v>331</v>
      </c>
      <c r="D62" s="3">
        <v>5</v>
      </c>
      <c r="E62" s="4">
        <f t="shared" si="3"/>
        <v>3200</v>
      </c>
      <c r="F62" s="4">
        <v>4000</v>
      </c>
      <c r="G62" s="5">
        <f t="shared" si="1"/>
        <v>20000</v>
      </c>
      <c r="H62" s="38" t="s">
        <v>409</v>
      </c>
      <c r="I62" s="38"/>
    </row>
    <row r="63" spans="1:9" ht="15" customHeight="1">
      <c r="A63" s="2" t="s">
        <v>66</v>
      </c>
      <c r="B63" s="3" t="s">
        <v>63</v>
      </c>
      <c r="C63" s="3" t="s">
        <v>332</v>
      </c>
      <c r="D63" s="3">
        <v>6</v>
      </c>
      <c r="E63" s="4">
        <f t="shared" si="3"/>
        <v>2000</v>
      </c>
      <c r="F63" s="4">
        <v>2500</v>
      </c>
      <c r="G63" s="5">
        <f t="shared" si="1"/>
        <v>15000</v>
      </c>
      <c r="H63" s="38" t="s">
        <v>409</v>
      </c>
      <c r="I63" s="38"/>
    </row>
    <row r="64" spans="1:9" ht="15" customHeight="1">
      <c r="A64" s="2" t="s">
        <v>65</v>
      </c>
      <c r="B64" s="3" t="s">
        <v>411</v>
      </c>
      <c r="C64" s="3" t="s">
        <v>218</v>
      </c>
      <c r="D64" s="3">
        <v>6</v>
      </c>
      <c r="E64" s="4">
        <f t="shared" si="3"/>
        <v>1600</v>
      </c>
      <c r="F64" s="4">
        <v>2000</v>
      </c>
      <c r="G64" s="5">
        <f t="shared" si="1"/>
        <v>12000</v>
      </c>
      <c r="H64" s="38">
        <v>4</v>
      </c>
      <c r="I64" s="38"/>
    </row>
    <row r="65" spans="1:9" ht="15" customHeight="1">
      <c r="A65" s="2" t="s">
        <v>68</v>
      </c>
      <c r="B65" s="3" t="s">
        <v>63</v>
      </c>
      <c r="C65" s="3" t="s">
        <v>219</v>
      </c>
      <c r="D65" s="3">
        <v>6</v>
      </c>
      <c r="E65" s="4">
        <f t="shared" si="3"/>
        <v>2000</v>
      </c>
      <c r="F65" s="4">
        <v>2500</v>
      </c>
      <c r="G65" s="5">
        <f t="shared" si="1"/>
        <v>15000</v>
      </c>
      <c r="H65" s="38" t="s">
        <v>409</v>
      </c>
      <c r="I65" s="38"/>
    </row>
    <row r="66" spans="1:9" ht="15" customHeight="1">
      <c r="A66" s="2" t="s">
        <v>69</v>
      </c>
      <c r="B66" s="3" t="s">
        <v>63</v>
      </c>
      <c r="C66" s="3" t="s">
        <v>220</v>
      </c>
      <c r="D66" s="3">
        <v>6</v>
      </c>
      <c r="E66" s="4">
        <f t="shared" si="3"/>
        <v>4800</v>
      </c>
      <c r="F66" s="4">
        <v>6000</v>
      </c>
      <c r="G66" s="5">
        <f t="shared" si="1"/>
        <v>36000</v>
      </c>
      <c r="H66" s="38" t="s">
        <v>409</v>
      </c>
      <c r="I66" s="38"/>
    </row>
    <row r="67" spans="1:9" ht="15" customHeight="1">
      <c r="A67" s="2" t="s">
        <v>70</v>
      </c>
      <c r="B67" s="3" t="s">
        <v>63</v>
      </c>
      <c r="C67" s="3" t="s">
        <v>221</v>
      </c>
      <c r="D67" s="3">
        <v>3</v>
      </c>
      <c r="E67" s="4">
        <f t="shared" si="3"/>
        <v>1600</v>
      </c>
      <c r="F67" s="4">
        <v>2000</v>
      </c>
      <c r="G67" s="5">
        <f t="shared" si="1"/>
        <v>6000</v>
      </c>
      <c r="H67" s="38">
        <v>1</v>
      </c>
      <c r="I67" s="38"/>
    </row>
    <row r="68" spans="1:9" ht="15" customHeight="1">
      <c r="A68" s="2" t="s">
        <v>412</v>
      </c>
      <c r="B68" s="3" t="s">
        <v>63</v>
      </c>
      <c r="C68" s="3" t="s">
        <v>222</v>
      </c>
      <c r="D68" s="3">
        <v>3</v>
      </c>
      <c r="E68" s="4">
        <f t="shared" si="3"/>
        <v>1600</v>
      </c>
      <c r="F68" s="4">
        <v>2000</v>
      </c>
      <c r="G68" s="5">
        <f t="shared" si="1"/>
        <v>6000</v>
      </c>
      <c r="H68" s="38">
        <v>1</v>
      </c>
      <c r="I68" s="38"/>
    </row>
    <row r="69" spans="1:9" ht="15" customHeight="1">
      <c r="A69" s="2" t="s">
        <v>345</v>
      </c>
      <c r="B69" s="3" t="s">
        <v>153</v>
      </c>
      <c r="C69" s="3" t="s">
        <v>348</v>
      </c>
      <c r="D69" s="3">
        <v>8</v>
      </c>
      <c r="E69" s="4">
        <f t="shared" si="3"/>
        <v>1600</v>
      </c>
      <c r="F69" s="4">
        <v>2000</v>
      </c>
      <c r="G69" s="5">
        <f t="shared" si="1"/>
        <v>16000</v>
      </c>
      <c r="H69" s="38">
        <v>1</v>
      </c>
      <c r="I69" s="38"/>
    </row>
    <row r="70" spans="1:9" ht="15" customHeight="1">
      <c r="A70" s="2" t="s">
        <v>346</v>
      </c>
      <c r="B70" s="3" t="s">
        <v>347</v>
      </c>
      <c r="C70" s="3" t="s">
        <v>349</v>
      </c>
      <c r="D70" s="3">
        <v>10</v>
      </c>
      <c r="E70" s="4">
        <f t="shared" si="3"/>
        <v>1600</v>
      </c>
      <c r="F70" s="4">
        <v>2000</v>
      </c>
      <c r="G70" s="5">
        <f t="shared" si="1"/>
        <v>20000</v>
      </c>
      <c r="H70" s="38">
        <v>3</v>
      </c>
      <c r="I70" s="38"/>
    </row>
    <row r="71" spans="1:9" ht="15" customHeight="1">
      <c r="A71" s="2" t="s">
        <v>74</v>
      </c>
      <c r="B71" s="3" t="s">
        <v>153</v>
      </c>
      <c r="C71" s="3" t="s">
        <v>225</v>
      </c>
      <c r="D71" s="3">
        <v>3</v>
      </c>
      <c r="E71" s="4">
        <f t="shared" si="3"/>
        <v>800</v>
      </c>
      <c r="F71" s="4">
        <v>1000</v>
      </c>
      <c r="G71" s="5">
        <f t="shared" si="1"/>
        <v>3000</v>
      </c>
      <c r="H71" s="38" t="s">
        <v>409</v>
      </c>
      <c r="I71" s="38"/>
    </row>
    <row r="72" spans="1:9" ht="15" customHeight="1">
      <c r="A72" s="2" t="s">
        <v>75</v>
      </c>
      <c r="B72" s="3" t="s">
        <v>153</v>
      </c>
      <c r="C72" s="3" t="s">
        <v>226</v>
      </c>
      <c r="D72" s="3">
        <v>3</v>
      </c>
      <c r="E72" s="4">
        <f t="shared" si="3"/>
        <v>800</v>
      </c>
      <c r="F72" s="4">
        <v>1000</v>
      </c>
      <c r="G72" s="5">
        <f t="shared" ref="G72:G85" si="4">D72*F72</f>
        <v>3000</v>
      </c>
      <c r="H72" s="38" t="s">
        <v>409</v>
      </c>
      <c r="I72" s="38"/>
    </row>
    <row r="73" spans="1:9" ht="15" customHeight="1">
      <c r="A73" s="2" t="s">
        <v>87</v>
      </c>
      <c r="B73" s="3" t="s">
        <v>63</v>
      </c>
      <c r="C73" s="3" t="s">
        <v>230</v>
      </c>
      <c r="D73" s="3">
        <v>9</v>
      </c>
      <c r="E73" s="4">
        <f t="shared" si="3"/>
        <v>400</v>
      </c>
      <c r="F73" s="4">
        <v>500</v>
      </c>
      <c r="G73" s="5">
        <f t="shared" si="4"/>
        <v>4500</v>
      </c>
      <c r="H73" s="38">
        <v>4</v>
      </c>
      <c r="I73" s="38"/>
    </row>
    <row r="74" spans="1:9" ht="15" customHeight="1">
      <c r="A74" s="2" t="s">
        <v>78</v>
      </c>
      <c r="B74" s="3" t="s">
        <v>63</v>
      </c>
      <c r="C74" s="3" t="s">
        <v>231</v>
      </c>
      <c r="D74" s="3">
        <v>9</v>
      </c>
      <c r="E74" s="4">
        <f t="shared" si="3"/>
        <v>400</v>
      </c>
      <c r="F74" s="4">
        <v>500</v>
      </c>
      <c r="G74" s="5">
        <f t="shared" si="4"/>
        <v>4500</v>
      </c>
      <c r="H74" s="38">
        <v>6</v>
      </c>
      <c r="I74" s="38"/>
    </row>
    <row r="75" spans="1:9" ht="15" customHeight="1">
      <c r="A75" s="2" t="s">
        <v>350</v>
      </c>
      <c r="B75" s="3"/>
      <c r="C75" s="3" t="s">
        <v>351</v>
      </c>
      <c r="D75" s="3">
        <v>10</v>
      </c>
      <c r="E75" s="4">
        <f t="shared" si="3"/>
        <v>2000</v>
      </c>
      <c r="F75" s="4">
        <v>2500</v>
      </c>
      <c r="G75" s="5">
        <f t="shared" si="4"/>
        <v>25000</v>
      </c>
      <c r="H75" s="38">
        <v>5</v>
      </c>
      <c r="I75" s="38"/>
    </row>
    <row r="76" spans="1:9" ht="15" customHeight="1">
      <c r="A76" s="2" t="s">
        <v>79</v>
      </c>
      <c r="B76" s="3" t="s">
        <v>63</v>
      </c>
      <c r="C76" s="3" t="s">
        <v>232</v>
      </c>
      <c r="D76" s="3">
        <v>6</v>
      </c>
      <c r="E76" s="4">
        <f t="shared" si="3"/>
        <v>400</v>
      </c>
      <c r="F76" s="4">
        <v>500</v>
      </c>
      <c r="G76" s="5">
        <f t="shared" si="4"/>
        <v>3000</v>
      </c>
      <c r="H76" s="38" t="s">
        <v>409</v>
      </c>
      <c r="I76" s="38"/>
    </row>
    <row r="77" spans="1:9" ht="15" customHeight="1">
      <c r="A77" s="2" t="s">
        <v>80</v>
      </c>
      <c r="B77" s="3" t="s">
        <v>63</v>
      </c>
      <c r="C77" s="3" t="s">
        <v>233</v>
      </c>
      <c r="D77" s="3">
        <v>9</v>
      </c>
      <c r="E77" s="4">
        <f t="shared" si="3"/>
        <v>800</v>
      </c>
      <c r="F77" s="4">
        <v>1000</v>
      </c>
      <c r="G77" s="5">
        <f t="shared" si="4"/>
        <v>9000</v>
      </c>
      <c r="H77" s="43">
        <v>1</v>
      </c>
      <c r="I77" s="38"/>
    </row>
    <row r="78" spans="1:9" ht="15" customHeight="1">
      <c r="A78" s="2" t="s">
        <v>82</v>
      </c>
      <c r="B78" s="3" t="s">
        <v>156</v>
      </c>
      <c r="C78" s="3" t="s">
        <v>235</v>
      </c>
      <c r="D78" s="3">
        <v>4</v>
      </c>
      <c r="E78" s="4">
        <f t="shared" si="3"/>
        <v>3600</v>
      </c>
      <c r="F78" s="4">
        <v>4500</v>
      </c>
      <c r="G78" s="5">
        <f t="shared" si="4"/>
        <v>18000</v>
      </c>
      <c r="H78" s="38">
        <v>1</v>
      </c>
      <c r="I78" s="38"/>
    </row>
    <row r="79" spans="1:9" ht="15" customHeight="1">
      <c r="A79" s="29" t="s">
        <v>5</v>
      </c>
      <c r="B79" s="30"/>
      <c r="C79" s="30"/>
      <c r="D79" s="30">
        <f>SUM(D61:D78)</f>
        <v>123</v>
      </c>
      <c r="E79" s="31">
        <f>SUM(E61:E78)</f>
        <v>32400</v>
      </c>
      <c r="F79" s="31">
        <f>SUM(F61:F78)</f>
        <v>40500</v>
      </c>
      <c r="G79" s="32">
        <f>SUM(G61:G78)</f>
        <v>284000</v>
      </c>
      <c r="H79" s="44"/>
      <c r="I79" s="38"/>
    </row>
    <row r="80" spans="1:9" ht="15" customHeight="1">
      <c r="A80" s="7"/>
      <c r="B80" s="8"/>
      <c r="C80" s="8"/>
      <c r="D80" s="8"/>
      <c r="E80" s="10"/>
      <c r="F80" s="10"/>
      <c r="G80" s="11"/>
      <c r="H80" s="8"/>
      <c r="I80" s="38"/>
    </row>
    <row r="81" spans="1:9" ht="15" customHeight="1">
      <c r="A81" s="2"/>
      <c r="B81" s="3"/>
      <c r="C81" s="3"/>
      <c r="D81" s="3"/>
      <c r="E81" s="4"/>
      <c r="F81" s="4"/>
      <c r="G81" s="5"/>
      <c r="H81" s="38"/>
      <c r="I81" s="38"/>
    </row>
    <row r="82" spans="1:9" ht="15" customHeight="1">
      <c r="A82" s="12" t="s">
        <v>120</v>
      </c>
      <c r="B82" s="3" t="s">
        <v>121</v>
      </c>
      <c r="C82" s="3" t="s">
        <v>249</v>
      </c>
      <c r="D82" s="3">
        <v>3</v>
      </c>
      <c r="E82" s="4">
        <f t="shared" ref="E82:E87" si="5">F82*20/100*4</f>
        <v>1200</v>
      </c>
      <c r="F82" s="4">
        <v>1500</v>
      </c>
      <c r="G82" s="5">
        <f t="shared" si="4"/>
        <v>4500</v>
      </c>
      <c r="H82" s="38">
        <v>2</v>
      </c>
      <c r="I82" s="38"/>
    </row>
    <row r="83" spans="1:9" ht="15" customHeight="1">
      <c r="A83" s="2" t="s">
        <v>123</v>
      </c>
      <c r="B83" s="3" t="s">
        <v>121</v>
      </c>
      <c r="C83" s="3" t="s">
        <v>251</v>
      </c>
      <c r="D83" s="3">
        <v>3</v>
      </c>
      <c r="E83" s="4">
        <f t="shared" si="5"/>
        <v>1200</v>
      </c>
      <c r="F83" s="4">
        <v>1500</v>
      </c>
      <c r="G83" s="5">
        <f t="shared" si="4"/>
        <v>4500</v>
      </c>
      <c r="H83" s="38">
        <v>2</v>
      </c>
      <c r="I83" s="38"/>
    </row>
    <row r="84" spans="1:9" ht="15" customHeight="1">
      <c r="A84" s="2" t="s">
        <v>124</v>
      </c>
      <c r="B84" s="3" t="s">
        <v>121</v>
      </c>
      <c r="C84" s="3" t="s">
        <v>252</v>
      </c>
      <c r="D84" s="3">
        <v>3</v>
      </c>
      <c r="E84" s="4">
        <f t="shared" si="5"/>
        <v>1200</v>
      </c>
      <c r="F84" s="4">
        <v>1500</v>
      </c>
      <c r="G84" s="5">
        <f t="shared" si="4"/>
        <v>4500</v>
      </c>
      <c r="H84" s="38" t="s">
        <v>409</v>
      </c>
      <c r="I84" s="38"/>
    </row>
    <row r="85" spans="1:9" ht="15" customHeight="1">
      <c r="A85" s="2" t="s">
        <v>128</v>
      </c>
      <c r="B85" s="3" t="s">
        <v>129</v>
      </c>
      <c r="C85" s="3" t="s">
        <v>387</v>
      </c>
      <c r="D85" s="3">
        <v>3</v>
      </c>
      <c r="E85" s="4">
        <f t="shared" si="5"/>
        <v>2000</v>
      </c>
      <c r="F85" s="4">
        <v>2500</v>
      </c>
      <c r="G85" s="5">
        <f t="shared" si="4"/>
        <v>7500</v>
      </c>
      <c r="H85" s="38">
        <v>1</v>
      </c>
      <c r="I85" s="38"/>
    </row>
    <row r="86" spans="1:9" ht="15" customHeight="1">
      <c r="A86" s="2" t="s">
        <v>141</v>
      </c>
      <c r="B86" s="3" t="s">
        <v>112</v>
      </c>
      <c r="C86" s="3" t="s">
        <v>266</v>
      </c>
      <c r="D86" s="3">
        <v>5</v>
      </c>
      <c r="E86" s="4">
        <f t="shared" si="5"/>
        <v>1200</v>
      </c>
      <c r="F86" s="4">
        <v>1500</v>
      </c>
      <c r="G86" s="5">
        <f>D86*F86</f>
        <v>7500</v>
      </c>
      <c r="H86" s="38" t="s">
        <v>409</v>
      </c>
      <c r="I86" s="38"/>
    </row>
    <row r="87" spans="1:9" ht="15" customHeight="1">
      <c r="A87" s="2" t="s">
        <v>141</v>
      </c>
      <c r="B87" s="3" t="s">
        <v>63</v>
      </c>
      <c r="C87" s="3" t="s">
        <v>267</v>
      </c>
      <c r="D87" s="3">
        <v>3</v>
      </c>
      <c r="E87" s="4">
        <f t="shared" si="5"/>
        <v>2400</v>
      </c>
      <c r="F87" s="4">
        <v>3000</v>
      </c>
      <c r="G87" s="5">
        <f>D87*F87</f>
        <v>9000</v>
      </c>
      <c r="H87" s="38" t="s">
        <v>409</v>
      </c>
      <c r="I87" s="38"/>
    </row>
    <row r="88" spans="1:9" ht="15" customHeight="1">
      <c r="A88" s="29" t="s">
        <v>5</v>
      </c>
      <c r="B88" s="28"/>
      <c r="C88" s="28"/>
      <c r="D88" s="30">
        <f>SUM(D86:D87)</f>
        <v>8</v>
      </c>
      <c r="E88" s="33">
        <f>SUM(E86:E87)</f>
        <v>3600</v>
      </c>
      <c r="F88" s="33">
        <f>SUM(F86:F87)</f>
        <v>4500</v>
      </c>
      <c r="G88" s="34">
        <f>SUM(G86:G87)</f>
        <v>16500</v>
      </c>
      <c r="H88" s="38"/>
      <c r="I88" s="38"/>
    </row>
    <row r="89" spans="1:9" ht="15" customHeight="1">
      <c r="A89" s="7"/>
      <c r="B89" s="3"/>
      <c r="C89" s="3"/>
      <c r="D89" s="8"/>
      <c r="E89" s="4"/>
      <c r="F89" s="4"/>
      <c r="G89" s="9"/>
      <c r="H89" s="38"/>
      <c r="I89" s="38"/>
    </row>
  </sheetData>
  <mergeCells count="13">
    <mergeCell ref="H2:I2"/>
    <mergeCell ref="H3:I3"/>
    <mergeCell ref="F58:F59"/>
    <mergeCell ref="G58:G59"/>
    <mergeCell ref="A58:A59"/>
    <mergeCell ref="B58:B59"/>
    <mergeCell ref="C58:C59"/>
    <mergeCell ref="D58:D59"/>
    <mergeCell ref="E58:E59"/>
    <mergeCell ref="A2:A3"/>
    <mergeCell ref="B2:B3"/>
    <mergeCell ref="C2:C3"/>
    <mergeCell ref="D2:D3"/>
  </mergeCells>
  <pageMargins left="0.61" right="0.1968503937007874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Compaq</cp:lastModifiedBy>
  <cp:lastPrinted>2013-02-23T12:11:30Z</cp:lastPrinted>
  <dcterms:created xsi:type="dcterms:W3CDTF">2013-02-04T06:35:18Z</dcterms:created>
  <dcterms:modified xsi:type="dcterms:W3CDTF">2013-02-24T14:59:26Z</dcterms:modified>
</cp:coreProperties>
</file>